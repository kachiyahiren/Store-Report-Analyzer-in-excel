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kachi\Downloads\"/>
    </mc:Choice>
  </mc:AlternateContent>
  <xr:revisionPtr revIDLastSave="0" documentId="13_ncr:1_{E2FC0056-50EB-4D2F-AE59-AA3346031E08}" xr6:coauthVersionLast="47" xr6:coauthVersionMax="47" xr10:uidLastSave="{00000000-0000-0000-0000-000000000000}"/>
  <bookViews>
    <workbookView xWindow="-108" yWindow="-108" windowWidth="23256" windowHeight="12456" tabRatio="845" activeTab="4" xr2:uid="{00000000-000D-0000-FFFF-FFFF00000000}"/>
  </bookViews>
  <sheets>
    <sheet name="Dashboard" sheetId="8" r:id="rId1"/>
    <sheet name="Total Sales VS Region" sheetId="3" r:id="rId2"/>
    <sheet name="Total Sales VS Product Category" sheetId="4" r:id="rId3"/>
    <sheet name="Average Sales Product Category " sheetId="5" r:id="rId4"/>
    <sheet name="Dataset" sheetId="2" r:id="rId5"/>
  </sheets>
  <definedNames>
    <definedName name="_xlnm._FilterDatabase" localSheetId="4" hidden="1">Dataset!$A$1:$M$201</definedName>
    <definedName name="Slicer_Product_Category">#N/A</definedName>
    <definedName name="Slicer_Region">#N/A</definedName>
    <definedName name="Slicer_Sales">#N/A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1" i="2" l="1"/>
  <c r="K11" i="2" s="1"/>
  <c r="J12" i="2"/>
  <c r="K12" i="2" s="1"/>
  <c r="J22" i="2"/>
  <c r="J82" i="2"/>
  <c r="K82" i="2" s="1"/>
  <c r="J83" i="2"/>
  <c r="K83" i="2" s="1"/>
  <c r="J84" i="2"/>
  <c r="K84" i="2" s="1"/>
  <c r="J130" i="2"/>
  <c r="K130" i="2" s="1"/>
  <c r="J142" i="2"/>
  <c r="K142" i="2" s="1"/>
  <c r="H3" i="2"/>
  <c r="J3" i="2" s="1"/>
  <c r="H4" i="2"/>
  <c r="J4" i="2" s="1"/>
  <c r="H5" i="2"/>
  <c r="J5" i="2" s="1"/>
  <c r="H6" i="2"/>
  <c r="J6" i="2" s="1"/>
  <c r="H7" i="2"/>
  <c r="J7" i="2" s="1"/>
  <c r="H8" i="2"/>
  <c r="H9" i="2"/>
  <c r="H10" i="2"/>
  <c r="J10" i="2" s="1"/>
  <c r="K10" i="2" s="1"/>
  <c r="H11" i="2"/>
  <c r="H12" i="2"/>
  <c r="H13" i="2"/>
  <c r="J13" i="2" s="1"/>
  <c r="K13" i="2" s="1"/>
  <c r="H14" i="2"/>
  <c r="J14" i="2" s="1"/>
  <c r="K14" i="2" s="1"/>
  <c r="H15" i="2"/>
  <c r="J15" i="2" s="1"/>
  <c r="H16" i="2"/>
  <c r="J16" i="2" s="1"/>
  <c r="H17" i="2"/>
  <c r="J17" i="2" s="1"/>
  <c r="H18" i="2"/>
  <c r="J18" i="2" s="1"/>
  <c r="H19" i="2"/>
  <c r="J19" i="2" s="1"/>
  <c r="H20" i="2"/>
  <c r="J20" i="2" s="1"/>
  <c r="H21" i="2"/>
  <c r="J21" i="2" s="1"/>
  <c r="H22" i="2"/>
  <c r="H23" i="2"/>
  <c r="J23" i="2" s="1"/>
  <c r="H24" i="2"/>
  <c r="J24" i="2" s="1"/>
  <c r="K24" i="2" s="1"/>
  <c r="H25" i="2"/>
  <c r="J25" i="2" s="1"/>
  <c r="H26" i="2"/>
  <c r="J26" i="2" s="1"/>
  <c r="K26" i="2" s="1"/>
  <c r="H27" i="2"/>
  <c r="J27" i="2" s="1"/>
  <c r="H28" i="2"/>
  <c r="J28" i="2" s="1"/>
  <c r="H29" i="2"/>
  <c r="J29" i="2" s="1"/>
  <c r="H30" i="2"/>
  <c r="J30" i="2" s="1"/>
  <c r="H31" i="2"/>
  <c r="J31" i="2" s="1"/>
  <c r="H32" i="2"/>
  <c r="J32" i="2" s="1"/>
  <c r="K32" i="2" s="1"/>
  <c r="H33" i="2"/>
  <c r="J33" i="2" s="1"/>
  <c r="H34" i="2"/>
  <c r="J34" i="2" s="1"/>
  <c r="K34" i="2" s="1"/>
  <c r="H35" i="2"/>
  <c r="J35" i="2" s="1"/>
  <c r="K35" i="2" s="1"/>
  <c r="H36" i="2"/>
  <c r="J36" i="2" s="1"/>
  <c r="K36" i="2" s="1"/>
  <c r="H37" i="2"/>
  <c r="J37" i="2" s="1"/>
  <c r="K37" i="2" s="1"/>
  <c r="H38" i="2"/>
  <c r="J38" i="2" s="1"/>
  <c r="K38" i="2" s="1"/>
  <c r="H39" i="2"/>
  <c r="J39" i="2" s="1"/>
  <c r="H40" i="2"/>
  <c r="J40" i="2" s="1"/>
  <c r="H41" i="2"/>
  <c r="J41" i="2" s="1"/>
  <c r="H42" i="2"/>
  <c r="J42" i="2" s="1"/>
  <c r="H43" i="2"/>
  <c r="J43" i="2" s="1"/>
  <c r="H44" i="2"/>
  <c r="J44" i="2" s="1"/>
  <c r="K44" i="2" s="1"/>
  <c r="H45" i="2"/>
  <c r="J45" i="2" s="1"/>
  <c r="H46" i="2"/>
  <c r="J46" i="2" s="1"/>
  <c r="K46" i="2" s="1"/>
  <c r="H47" i="2"/>
  <c r="J47" i="2" s="1"/>
  <c r="K47" i="2" s="1"/>
  <c r="H48" i="2"/>
  <c r="J48" i="2" s="1"/>
  <c r="K48" i="2" s="1"/>
  <c r="H49" i="2"/>
  <c r="J49" i="2" s="1"/>
  <c r="K49" i="2" s="1"/>
  <c r="H50" i="2"/>
  <c r="J50" i="2" s="1"/>
  <c r="K50" i="2" s="1"/>
  <c r="H51" i="2"/>
  <c r="J51" i="2" s="1"/>
  <c r="H52" i="2"/>
  <c r="J52" i="2" s="1"/>
  <c r="H53" i="2"/>
  <c r="J53" i="2" s="1"/>
  <c r="H54" i="2"/>
  <c r="J54" i="2" s="1"/>
  <c r="H55" i="2"/>
  <c r="J55" i="2" s="1"/>
  <c r="H56" i="2"/>
  <c r="J56" i="2" s="1"/>
  <c r="H57" i="2"/>
  <c r="J57" i="2" s="1"/>
  <c r="H58" i="2"/>
  <c r="J58" i="2" s="1"/>
  <c r="K58" i="2" s="1"/>
  <c r="H59" i="2"/>
  <c r="J59" i="2" s="1"/>
  <c r="K59" i="2" s="1"/>
  <c r="H60" i="2"/>
  <c r="J60" i="2" s="1"/>
  <c r="K60" i="2" s="1"/>
  <c r="H61" i="2"/>
  <c r="J61" i="2" s="1"/>
  <c r="K61" i="2" s="1"/>
  <c r="H62" i="2"/>
  <c r="J62" i="2" s="1"/>
  <c r="K62" i="2" s="1"/>
  <c r="H63" i="2"/>
  <c r="J63" i="2" s="1"/>
  <c r="H64" i="2"/>
  <c r="J64" i="2" s="1"/>
  <c r="H65" i="2"/>
  <c r="J65" i="2" s="1"/>
  <c r="H66" i="2"/>
  <c r="J66" i="2" s="1"/>
  <c r="H67" i="2"/>
  <c r="J67" i="2" s="1"/>
  <c r="H68" i="2"/>
  <c r="J68" i="2" s="1"/>
  <c r="K68" i="2" s="1"/>
  <c r="H69" i="2"/>
  <c r="J69" i="2" s="1"/>
  <c r="H70" i="2"/>
  <c r="J70" i="2" s="1"/>
  <c r="K70" i="2" s="1"/>
  <c r="H71" i="2"/>
  <c r="J71" i="2" s="1"/>
  <c r="K71" i="2" s="1"/>
  <c r="H72" i="2"/>
  <c r="J72" i="2" s="1"/>
  <c r="K72" i="2" s="1"/>
  <c r="H73" i="2"/>
  <c r="J73" i="2" s="1"/>
  <c r="K73" i="2" s="1"/>
  <c r="H74" i="2"/>
  <c r="J74" i="2" s="1"/>
  <c r="K74" i="2" s="1"/>
  <c r="H75" i="2"/>
  <c r="J75" i="2" s="1"/>
  <c r="H76" i="2"/>
  <c r="J76" i="2" s="1"/>
  <c r="H77" i="2"/>
  <c r="J77" i="2" s="1"/>
  <c r="H78" i="2"/>
  <c r="J78" i="2" s="1"/>
  <c r="H79" i="2"/>
  <c r="J79" i="2" s="1"/>
  <c r="H80" i="2"/>
  <c r="H81" i="2"/>
  <c r="J81" i="2" s="1"/>
  <c r="H82" i="2"/>
  <c r="H83" i="2"/>
  <c r="H84" i="2"/>
  <c r="H85" i="2"/>
  <c r="J85" i="2" s="1"/>
  <c r="K85" i="2" s="1"/>
  <c r="H86" i="2"/>
  <c r="J86" i="2" s="1"/>
  <c r="K86" i="2" s="1"/>
  <c r="H87" i="2"/>
  <c r="J87" i="2" s="1"/>
  <c r="H88" i="2"/>
  <c r="J88" i="2" s="1"/>
  <c r="H89" i="2"/>
  <c r="J89" i="2" s="1"/>
  <c r="H90" i="2"/>
  <c r="J90" i="2" s="1"/>
  <c r="H91" i="2"/>
  <c r="J91" i="2" s="1"/>
  <c r="H92" i="2"/>
  <c r="J92" i="2" s="1"/>
  <c r="K92" i="2" s="1"/>
  <c r="H93" i="2"/>
  <c r="J93" i="2" s="1"/>
  <c r="H94" i="2"/>
  <c r="J94" i="2" s="1"/>
  <c r="K94" i="2" s="1"/>
  <c r="H95" i="2"/>
  <c r="J95" i="2" s="1"/>
  <c r="K95" i="2" s="1"/>
  <c r="H96" i="2"/>
  <c r="J96" i="2" s="1"/>
  <c r="H97" i="2"/>
  <c r="J97" i="2" s="1"/>
  <c r="K97" i="2" s="1"/>
  <c r="H98" i="2"/>
  <c r="J98" i="2" s="1"/>
  <c r="K98" i="2" s="1"/>
  <c r="H99" i="2"/>
  <c r="J99" i="2" s="1"/>
  <c r="H100" i="2"/>
  <c r="J100" i="2" s="1"/>
  <c r="H101" i="2"/>
  <c r="J101" i="2" s="1"/>
  <c r="H102" i="2"/>
  <c r="J102" i="2" s="1"/>
  <c r="H103" i="2"/>
  <c r="J103" i="2" s="1"/>
  <c r="H104" i="2"/>
  <c r="J104" i="2" s="1"/>
  <c r="K104" i="2" s="1"/>
  <c r="H105" i="2"/>
  <c r="J105" i="2" s="1"/>
  <c r="H106" i="2"/>
  <c r="J106" i="2" s="1"/>
  <c r="K106" i="2" s="1"/>
  <c r="H107" i="2"/>
  <c r="J107" i="2" s="1"/>
  <c r="K107" i="2" s="1"/>
  <c r="H108" i="2"/>
  <c r="J108" i="2" s="1"/>
  <c r="K108" i="2" s="1"/>
  <c r="H109" i="2"/>
  <c r="J109" i="2" s="1"/>
  <c r="K109" i="2" s="1"/>
  <c r="H110" i="2"/>
  <c r="J110" i="2" s="1"/>
  <c r="K110" i="2" s="1"/>
  <c r="H111" i="2"/>
  <c r="J111" i="2" s="1"/>
  <c r="H112" i="2"/>
  <c r="J112" i="2" s="1"/>
  <c r="H113" i="2"/>
  <c r="J113" i="2" s="1"/>
  <c r="H114" i="2"/>
  <c r="J114" i="2" s="1"/>
  <c r="H115" i="2"/>
  <c r="J115" i="2" s="1"/>
  <c r="H116" i="2"/>
  <c r="J116" i="2" s="1"/>
  <c r="K116" i="2" s="1"/>
  <c r="H117" i="2"/>
  <c r="J117" i="2" s="1"/>
  <c r="H118" i="2"/>
  <c r="J118" i="2" s="1"/>
  <c r="K118" i="2" s="1"/>
  <c r="H119" i="2"/>
  <c r="J119" i="2" s="1"/>
  <c r="K119" i="2" s="1"/>
  <c r="H120" i="2"/>
  <c r="J120" i="2" s="1"/>
  <c r="H121" i="2"/>
  <c r="H122" i="2"/>
  <c r="J122" i="2" s="1"/>
  <c r="H123" i="2"/>
  <c r="J123" i="2" s="1"/>
  <c r="H124" i="2"/>
  <c r="J124" i="2" s="1"/>
  <c r="H125" i="2"/>
  <c r="J125" i="2" s="1"/>
  <c r="H126" i="2"/>
  <c r="J126" i="2" s="1"/>
  <c r="H127" i="2"/>
  <c r="J127" i="2" s="1"/>
  <c r="H128" i="2"/>
  <c r="J128" i="2" s="1"/>
  <c r="K128" i="2" s="1"/>
  <c r="H129" i="2"/>
  <c r="H130" i="2"/>
  <c r="H131" i="2"/>
  <c r="J131" i="2" s="1"/>
  <c r="K131" i="2" s="1"/>
  <c r="H132" i="2"/>
  <c r="J132" i="2" s="1"/>
  <c r="K132" i="2" s="1"/>
  <c r="H133" i="2"/>
  <c r="J133" i="2" s="1"/>
  <c r="K133" i="2" s="1"/>
  <c r="H134" i="2"/>
  <c r="J134" i="2" s="1"/>
  <c r="K134" i="2" s="1"/>
  <c r="H135" i="2"/>
  <c r="J135" i="2" s="1"/>
  <c r="H136" i="2"/>
  <c r="J136" i="2" s="1"/>
  <c r="H137" i="2"/>
  <c r="J137" i="2" s="1"/>
  <c r="H138" i="2"/>
  <c r="J138" i="2" s="1"/>
  <c r="H139" i="2"/>
  <c r="J139" i="2" s="1"/>
  <c r="H140" i="2"/>
  <c r="J140" i="2" s="1"/>
  <c r="K140" i="2" s="1"/>
  <c r="H141" i="2"/>
  <c r="J141" i="2" s="1"/>
  <c r="H142" i="2"/>
  <c r="H143" i="2"/>
  <c r="J143" i="2" s="1"/>
  <c r="K143" i="2" s="1"/>
  <c r="H144" i="2"/>
  <c r="J144" i="2" s="1"/>
  <c r="K144" i="2" s="1"/>
  <c r="H145" i="2"/>
  <c r="J145" i="2" s="1"/>
  <c r="K145" i="2" s="1"/>
  <c r="H146" i="2"/>
  <c r="J146" i="2" s="1"/>
  <c r="K146" i="2" s="1"/>
  <c r="H147" i="2"/>
  <c r="J147" i="2" s="1"/>
  <c r="H148" i="2"/>
  <c r="J148" i="2" s="1"/>
  <c r="H149" i="2"/>
  <c r="J149" i="2" s="1"/>
  <c r="H150" i="2"/>
  <c r="J150" i="2" s="1"/>
  <c r="H151" i="2"/>
  <c r="J151" i="2" s="1"/>
  <c r="H152" i="2"/>
  <c r="J152" i="2" s="1"/>
  <c r="K152" i="2" s="1"/>
  <c r="H153" i="2"/>
  <c r="H154" i="2"/>
  <c r="J154" i="2" s="1"/>
  <c r="K154" i="2" s="1"/>
  <c r="H155" i="2"/>
  <c r="J155" i="2" s="1"/>
  <c r="K155" i="2" s="1"/>
  <c r="H156" i="2"/>
  <c r="J156" i="2" s="1"/>
  <c r="K156" i="2" s="1"/>
  <c r="H157" i="2"/>
  <c r="J157" i="2" s="1"/>
  <c r="K157" i="2" s="1"/>
  <c r="H158" i="2"/>
  <c r="J158" i="2" s="1"/>
  <c r="K158" i="2" s="1"/>
  <c r="H159" i="2"/>
  <c r="J159" i="2" s="1"/>
  <c r="H160" i="2"/>
  <c r="J160" i="2" s="1"/>
  <c r="H161" i="2"/>
  <c r="H162" i="2"/>
  <c r="J162" i="2" s="1"/>
  <c r="H163" i="2"/>
  <c r="J163" i="2" s="1"/>
  <c r="H164" i="2"/>
  <c r="J164" i="2" s="1"/>
  <c r="K164" i="2" s="1"/>
  <c r="H165" i="2"/>
  <c r="J165" i="2" s="1"/>
  <c r="H166" i="2"/>
  <c r="J166" i="2" s="1"/>
  <c r="K166" i="2" s="1"/>
  <c r="H167" i="2"/>
  <c r="J167" i="2" s="1"/>
  <c r="K167" i="2" s="1"/>
  <c r="H168" i="2"/>
  <c r="J168" i="2" s="1"/>
  <c r="K168" i="2" s="1"/>
  <c r="H169" i="2"/>
  <c r="J169" i="2" s="1"/>
  <c r="K169" i="2" s="1"/>
  <c r="H170" i="2"/>
  <c r="J170" i="2" s="1"/>
  <c r="K170" i="2" s="1"/>
  <c r="H171" i="2"/>
  <c r="J171" i="2" s="1"/>
  <c r="H172" i="2"/>
  <c r="J172" i="2" s="1"/>
  <c r="H173" i="2"/>
  <c r="J173" i="2" s="1"/>
  <c r="H174" i="2"/>
  <c r="J174" i="2" s="1"/>
  <c r="H175" i="2"/>
  <c r="J175" i="2" s="1"/>
  <c r="H176" i="2"/>
  <c r="J176" i="2" s="1"/>
  <c r="K176" i="2" s="1"/>
  <c r="H177" i="2"/>
  <c r="J177" i="2" s="1"/>
  <c r="H178" i="2"/>
  <c r="J178" i="2" s="1"/>
  <c r="K178" i="2" s="1"/>
  <c r="H179" i="2"/>
  <c r="J179" i="2" s="1"/>
  <c r="K179" i="2" s="1"/>
  <c r="H180" i="2"/>
  <c r="J180" i="2" s="1"/>
  <c r="H181" i="2"/>
  <c r="H182" i="2"/>
  <c r="H183" i="2"/>
  <c r="J183" i="2" s="1"/>
  <c r="H184" i="2"/>
  <c r="J184" i="2" s="1"/>
  <c r="H185" i="2"/>
  <c r="J185" i="2" s="1"/>
  <c r="H186" i="2"/>
  <c r="J186" i="2" s="1"/>
  <c r="H187" i="2"/>
  <c r="J187" i="2" s="1"/>
  <c r="H188" i="2"/>
  <c r="J188" i="2" s="1"/>
  <c r="K188" i="2" s="1"/>
  <c r="H189" i="2"/>
  <c r="H190" i="2"/>
  <c r="J190" i="2" s="1"/>
  <c r="K190" i="2" s="1"/>
  <c r="H191" i="2"/>
  <c r="J191" i="2" s="1"/>
  <c r="K191" i="2" s="1"/>
  <c r="H192" i="2"/>
  <c r="J192" i="2" s="1"/>
  <c r="K192" i="2" s="1"/>
  <c r="H193" i="2"/>
  <c r="J193" i="2" s="1"/>
  <c r="K193" i="2" s="1"/>
  <c r="H194" i="2"/>
  <c r="J194" i="2" s="1"/>
  <c r="K194" i="2" s="1"/>
  <c r="H195" i="2"/>
  <c r="J195" i="2" s="1"/>
  <c r="H196" i="2"/>
  <c r="J196" i="2" s="1"/>
  <c r="H197" i="2"/>
  <c r="J197" i="2" s="1"/>
  <c r="H198" i="2"/>
  <c r="J198" i="2" s="1"/>
  <c r="H199" i="2"/>
  <c r="J199" i="2" s="1"/>
  <c r="H200" i="2"/>
  <c r="J200" i="2" s="1"/>
  <c r="K200" i="2" s="1"/>
  <c r="H201" i="2"/>
  <c r="J201" i="2" s="1"/>
  <c r="H2" i="2"/>
  <c r="K64" i="2" l="1"/>
  <c r="K172" i="2"/>
  <c r="K171" i="2"/>
  <c r="K63" i="2"/>
  <c r="J182" i="2"/>
  <c r="K182" i="2" s="1"/>
  <c r="J181" i="2"/>
  <c r="K181" i="2" s="1"/>
  <c r="K120" i="2"/>
  <c r="K122" i="2"/>
  <c r="K180" i="2"/>
  <c r="J121" i="2"/>
  <c r="K121" i="2" s="1"/>
  <c r="K56" i="2"/>
  <c r="K160" i="2"/>
  <c r="K100" i="2"/>
  <c r="K195" i="2"/>
  <c r="K147" i="2"/>
  <c r="K96" i="2"/>
  <c r="K196" i="2"/>
  <c r="K99" i="2"/>
  <c r="J80" i="2"/>
  <c r="K80" i="2" s="1"/>
  <c r="K184" i="2"/>
  <c r="K136" i="2"/>
  <c r="K88" i="2"/>
  <c r="K52" i="2"/>
  <c r="K111" i="2"/>
  <c r="K148" i="2"/>
  <c r="K183" i="2"/>
  <c r="K135" i="2"/>
  <c r="K87" i="2"/>
  <c r="K51" i="2"/>
  <c r="K201" i="2"/>
  <c r="K141" i="2"/>
  <c r="K81" i="2"/>
  <c r="K45" i="2"/>
  <c r="K124" i="2"/>
  <c r="K40" i="2"/>
  <c r="K165" i="2"/>
  <c r="K105" i="2"/>
  <c r="K69" i="2"/>
  <c r="J189" i="2"/>
  <c r="K189" i="2" s="1"/>
  <c r="J129" i="2"/>
  <c r="K129" i="2" s="1"/>
  <c r="K123" i="2"/>
  <c r="K76" i="2"/>
  <c r="K39" i="2"/>
  <c r="K112" i="2"/>
  <c r="K159" i="2"/>
  <c r="K177" i="2"/>
  <c r="K117" i="2"/>
  <c r="K57" i="2"/>
  <c r="J153" i="2"/>
  <c r="K153" i="2" s="1"/>
  <c r="K75" i="2"/>
  <c r="K27" i="2"/>
  <c r="J161" i="2"/>
  <c r="K161" i="2" s="1"/>
  <c r="K93" i="2"/>
  <c r="K33" i="2"/>
  <c r="K187" i="2"/>
  <c r="K175" i="2"/>
  <c r="K163" i="2"/>
  <c r="K151" i="2"/>
  <c r="K139" i="2"/>
  <c r="K127" i="2"/>
  <c r="K115" i="2"/>
  <c r="K103" i="2"/>
  <c r="K91" i="2"/>
  <c r="K79" i="2"/>
  <c r="K67" i="2"/>
  <c r="K55" i="2"/>
  <c r="K43" i="2"/>
  <c r="K31" i="2"/>
  <c r="K198" i="2"/>
  <c r="K186" i="2"/>
  <c r="K174" i="2"/>
  <c r="K162" i="2"/>
  <c r="K150" i="2"/>
  <c r="K138" i="2"/>
  <c r="K126" i="2"/>
  <c r="K114" i="2"/>
  <c r="K102" i="2"/>
  <c r="K90" i="2"/>
  <c r="K78" i="2"/>
  <c r="K66" i="2"/>
  <c r="K54" i="2"/>
  <c r="K42" i="2"/>
  <c r="K30" i="2"/>
  <c r="K199" i="2"/>
  <c r="K197" i="2"/>
  <c r="K185" i="2"/>
  <c r="K173" i="2"/>
  <c r="K149" i="2"/>
  <c r="K137" i="2"/>
  <c r="K125" i="2"/>
  <c r="K113" i="2"/>
  <c r="K101" i="2"/>
  <c r="K89" i="2"/>
  <c r="K77" i="2"/>
  <c r="K65" i="2"/>
  <c r="K53" i="2"/>
  <c r="K41" i="2"/>
  <c r="K29" i="2"/>
  <c r="K25" i="2"/>
  <c r="K22" i="2"/>
  <c r="K23" i="2"/>
  <c r="J2" i="2"/>
  <c r="K2" i="2" s="1"/>
  <c r="K15" i="2"/>
  <c r="K3" i="2"/>
  <c r="J8" i="2"/>
  <c r="K8" i="2" s="1"/>
  <c r="J9" i="2"/>
  <c r="K9" i="2" s="1"/>
  <c r="K21" i="2"/>
  <c r="K17" i="2"/>
  <c r="K5" i="2"/>
  <c r="K20" i="2"/>
  <c r="K19" i="2"/>
  <c r="K7" i="2"/>
  <c r="K18" i="2"/>
  <c r="K6" i="2"/>
  <c r="K28" i="2"/>
  <c r="K16" i="2"/>
  <c r="K4" i="2"/>
  <c r="P13" i="2"/>
  <c r="P12" i="2"/>
  <c r="P27" i="2"/>
  <c r="P28" i="2"/>
  <c r="P8" i="2"/>
  <c r="P16" i="2"/>
  <c r="P5" i="2"/>
  <c r="P25" i="2"/>
  <c r="P9" i="2"/>
  <c r="P15" i="2"/>
  <c r="P3" i="2"/>
  <c r="P22" i="2"/>
  <c r="P19" i="2"/>
  <c r="P11" i="2"/>
  <c r="P21" i="2"/>
  <c r="P14" i="2"/>
  <c r="P4" i="2"/>
  <c r="P26" i="2"/>
  <c r="P6" i="2"/>
  <c r="P18" i="2"/>
  <c r="P10" i="2"/>
  <c r="P7" i="2"/>
  <c r="P24" i="2"/>
  <c r="P2" i="2"/>
  <c r="P23" i="2"/>
  <c r="P20" i="2"/>
  <c r="P17" i="2"/>
</calcChain>
</file>

<file path=xl/sharedStrings.xml><?xml version="1.0" encoding="utf-8"?>
<sst xmlns="http://schemas.openxmlformats.org/spreadsheetml/2006/main" count="842" uniqueCount="86">
  <si>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</si>
  <si>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</si>
  <si>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</si>
  <si>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</si>
  <si>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</si>
  <si>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</si>
  <si>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</si>
  <si>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</si>
  <si>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</si>
  <si>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</si>
  <si>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</si>
  <si>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</si>
  <si>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</si>
  <si>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</si>
  <si>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</si>
  <si>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</si>
  <si>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</si>
  <si>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</si>
  <si>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</si>
  <si>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</si>
  <si>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</si>
  <si>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</si>
  <si>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</si>
  <si>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</si>
  <si>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</si>
  <si>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</si>
  <si>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</si>
  <si>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</si>
  <si>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</si>
  <si>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</si>
  <si>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</si>
  <si>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</si>
  <si>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</si>
  <si>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</si>
  <si>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</si>
  <si>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</si>
  <si>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</si>
  <si>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</si>
  <si>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</si>
  <si>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</si>
  <si>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</si>
  <si>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</si>
  <si>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</si>
  <si>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</si>
  <si>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</si>
  <si>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</si>
  <si>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</si>
  <si>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</si>
  <si>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</si>
  <si>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</si>
  <si>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</si>
  <si>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</si>
  <si>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</si>
  <si>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</si>
  <si>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</si>
  <si>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</si>
  <si>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</si>
  <si>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</si>
  <si>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</si>
  <si>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</si>
  <si>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</si>
  <si>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</si>
  <si>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</si>
  <si>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</si>
  <si>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</si>
  <si>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</si>
  <si>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</si>
  <si>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</si>
  <si>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</si>
  <si>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</si>
  <si>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</si>
  <si>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</si>
  <si>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</si>
  <si>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</si>
  <si>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</si>
  <si>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</si>
  <si>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Total_Purchase</t>
  </si>
  <si>
    <t>PRICE</t>
  </si>
  <si>
    <t>TOTAL AMOUNT</t>
  </si>
  <si>
    <t>SALES AMOUNT</t>
  </si>
  <si>
    <t>FINAL AMOUNT</t>
  </si>
  <si>
    <t>Sum of Sales</t>
  </si>
  <si>
    <t>Row Labels</t>
  </si>
  <si>
    <t>Column Labels</t>
  </si>
  <si>
    <t>Average of PRICE</t>
  </si>
  <si>
    <t>STORE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</si>
</sst>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scheme val="minor"/>
    </font>
    <font>
      <b/>
      <sz val="11"/>
      <color theme="1"/>
      <name val="Calibri"/>
      <scheme val="minor"/>
    </font>
    <font>
      <sz val="11"/>
      <color theme="1"/>
      <name val="Calibri"/>
      <scheme val="minor"/>
    </font>
    <font>
      <b/>
      <sz val="11"/>
      <color theme="1"/>
      <name val="Calibri"/>
      <family val="2"/>
      <scheme val="minor"/>
    </font>
    <font>
      <b/>
      <sz val="36"/>
      <color theme="1"/>
      <name val="Agency FB"/>
      <family val="2"/>
    </font>
  </fonts>
  <fills count="6">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34998626667073579"/>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164" fontId="2" fillId="0" borderId="0" xfId="0" applyNumberFormat="1" applyFont="1"/>
    <xf numFmtId="0" fontId="3" fillId="0" borderId="0" xfId="0" applyFont="1"/>
    <xf numFmtId="0" fontId="2" fillId="2" borderId="0" xfId="0" applyFont="1" applyFill="1"/>
    <xf numFmtId="0" fontId="0" fillId="0" borderId="0" xfId="0" applyNumberFormat="1"/>
    <xf numFmtId="0" fontId="0" fillId="0" borderId="0" xfId="0" pivotButton="1"/>
    <xf numFmtId="0" fontId="0" fillId="0" borderId="0" xfId="0" applyAlignment="1">
      <alignment horizontal="left"/>
    </xf>
    <xf numFmtId="0" fontId="0" fillId="3" borderId="0" xfId="0" applyFill="1"/>
    <xf numFmtId="0" fontId="4" fillId="3" borderId="0" xfId="0" applyFont="1" applyFill="1" applyAlignment="1">
      <alignment horizontal="center"/>
    </xf>
    <xf numFmtId="0" fontId="0" fillId="4" borderId="0" xfId="0" applyFill="1"/>
    <xf numFmtId="0" fontId="0" fillId="5" borderId="0" xfId="0" applyFill="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Analyzer.xlsx]Total Sales VS Region!PivotTable1</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Total</a:t>
            </a:r>
            <a:r>
              <a:rPr lang="en-IN" sz="1600" b="1" baseline="0">
                <a:solidFill>
                  <a:schemeClr val="tx1"/>
                </a:solidFill>
              </a:rPr>
              <a:t> Sales VS Region</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IN"/>
        </a:p>
      </c:txPr>
    </c:title>
    <c:autoTitleDeleted val="0"/>
    <c:pivotFmts>
      <c:pivotFmt>
        <c:idx val="0"/>
        <c:spPr>
          <a:solidFill>
            <a:srgbClr val="92D050"/>
          </a:solidFill>
          <a:ln>
            <a:solidFill>
              <a:schemeClr val="tx1"/>
            </a:solidFill>
            <a:extLst>
              <a:ext uri="{C807C97D-BFC1-408E-A445-0C87EB9F89A2}">
                <ask:lineSketchStyleProps xmlns:ask="http://schemas.microsoft.com/office/drawing/2018/sketchyshapes">
                  <ask:type>
                    <ask:lineSketchNone/>
                  </ask:type>
                </ask:lineSketchStyleProps>
              </a:ext>
            </a:extLs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chemeClr val="tx1"/>
            </a:solidFill>
            <a:extLst>
              <a:ext uri="{C807C97D-BFC1-408E-A445-0C87EB9F89A2}">
                <ask:lineSketchStyleProps xmlns:ask="http://schemas.microsoft.com/office/drawing/2018/sketchyshapes">
                  <ask:type>
                    <ask:lineSketchNone/>
                  </ask:type>
                </ask:lineSketchStyleProps>
              </a:ext>
            </a:extLs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chemeClr val="tx1"/>
            </a:solidFill>
            <a:extLst>
              <a:ext uri="{C807C97D-BFC1-408E-A445-0C87EB9F89A2}">
                <ask:lineSketchStyleProps xmlns:ask="http://schemas.microsoft.com/office/drawing/2018/sketchyshapes">
                  <ask:type>
                    <ask:lineSketchNone/>
                  </ask:type>
                </ask:lineSketchStyleProps>
              </a:ext>
            </a:extLs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VS Region'!$B$3</c:f>
              <c:strCache>
                <c:ptCount val="1"/>
                <c:pt idx="0">
                  <c:v>Total</c:v>
                </c:pt>
              </c:strCache>
            </c:strRef>
          </c:tx>
          <c:spPr>
            <a:solidFill>
              <a:srgbClr val="92D050"/>
            </a:solidFill>
            <a:ln>
              <a:solidFill>
                <a:schemeClr val="tx1"/>
              </a:solidFill>
              <a:extLst>
                <a:ext uri="{C807C97D-BFC1-408E-A445-0C87EB9F89A2}">
                  <ask:lineSketchStyleProps xmlns:ask="http://schemas.microsoft.com/office/drawing/2018/sketchyshapes">
                    <ask:type>
                      <ask:lineSketchNone/>
                    </ask:type>
                  </ask:lineSketchStyleProps>
                </a:ext>
              </a:extLst>
            </a:ln>
            <a:effectLst/>
          </c:spPr>
          <c:invertIfNegative val="0"/>
          <c:cat>
            <c:strRef>
              <c:f>'Total Sales VS Region'!$A$4:$A$8</c:f>
              <c:strCache>
                <c:ptCount val="5"/>
                <c:pt idx="0">
                  <c:v>Central</c:v>
                </c:pt>
                <c:pt idx="1">
                  <c:v>East</c:v>
                </c:pt>
                <c:pt idx="2">
                  <c:v>North</c:v>
                </c:pt>
                <c:pt idx="3">
                  <c:v>South</c:v>
                </c:pt>
                <c:pt idx="4">
                  <c:v>West</c:v>
                </c:pt>
              </c:strCache>
            </c:strRef>
          </c:cat>
          <c:val>
            <c:numRef>
              <c:f>'Total Sales VS Region'!$B$4:$B$8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C1DA-4B29-9666-54938044F2AC}"/>
            </c:ext>
          </c:extLst>
        </c:ser>
        <c:dLbls>
          <c:showLegendKey val="0"/>
          <c:showVal val="0"/>
          <c:showCatName val="0"/>
          <c:showSerName val="0"/>
          <c:showPercent val="0"/>
          <c:showBubbleSize val="0"/>
        </c:dLbls>
        <c:gapWidth val="182"/>
        <c:axId val="1661864368"/>
        <c:axId val="1969845056"/>
      </c:barChart>
      <c:catAx>
        <c:axId val="166186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9845056"/>
        <c:crosses val="autoZero"/>
        <c:auto val="1"/>
        <c:lblAlgn val="ctr"/>
        <c:lblOffset val="100"/>
        <c:noMultiLvlLbl val="0"/>
      </c:catAx>
      <c:valAx>
        <c:axId val="196984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186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Analyzer.xlsx]Total Sales VS Product Category!PivotTable2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Total</a:t>
            </a:r>
            <a:r>
              <a:rPr lang="en-IN" b="1" baseline="0">
                <a:solidFill>
                  <a:schemeClr val="tx1"/>
                </a:solidFill>
              </a:rPr>
              <a:t> Sales VS Product Category</a:t>
            </a:r>
            <a:endParaRPr lang="en-IN" b="1">
              <a:solidFill>
                <a:schemeClr val="tx1"/>
              </a:solidFill>
            </a:endParaRPr>
          </a:p>
        </c:rich>
      </c:tx>
      <c:layout>
        <c:manualLayout>
          <c:xMode val="edge"/>
          <c:yMode val="edge"/>
          <c:x val="4.9367891513560809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9281780402449697"/>
          <c:y val="0.14796004666083407"/>
          <c:w val="0.46436461067366569"/>
          <c:h val="0.7739410177894428"/>
        </c:manualLayout>
      </c:layout>
      <c:pieChart>
        <c:varyColors val="1"/>
        <c:ser>
          <c:idx val="0"/>
          <c:order val="0"/>
          <c:tx>
            <c:strRef>
              <c:f>'Total Sales VS Product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81-404B-AD6E-E8A44E39A7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81-404B-AD6E-E8A44E39A7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81-404B-AD6E-E8A44E39A7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81-404B-AD6E-E8A44E39A7D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81-404B-AD6E-E8A44E39A7D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Sales VS Product Category'!$A$4:$A$8</c:f>
              <c:strCache>
                <c:ptCount val="5"/>
                <c:pt idx="0">
                  <c:v>Books</c:v>
                </c:pt>
                <c:pt idx="1">
                  <c:v>Clothing</c:v>
                </c:pt>
                <c:pt idx="2">
                  <c:v>Electronics</c:v>
                </c:pt>
                <c:pt idx="3">
                  <c:v>Furniture</c:v>
                </c:pt>
                <c:pt idx="4">
                  <c:v>Office Supplies</c:v>
                </c:pt>
              </c:strCache>
            </c:strRef>
          </c:cat>
          <c:val>
            <c:numRef>
              <c:f>'Total Sales VS Product Category'!$B$4:$B$8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1881-404B-AD6E-E8A44E39A7D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111111111111107"/>
          <c:y val="4.9039078448527243E-2"/>
          <c:w val="0.21388888888888888"/>
          <c:h val="0.453264435695538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Analyzer.xlsx]Average Sales Product Category !PivotTable3</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Average</a:t>
            </a:r>
            <a:r>
              <a:rPr lang="en-IN" b="1" baseline="0">
                <a:solidFill>
                  <a:schemeClr val="tx1"/>
                </a:solidFill>
              </a:rPr>
              <a:t> Sales:Product Category VS Region</a:t>
            </a:r>
            <a:endParaRPr lang="en-IN" b="1">
              <a:solidFill>
                <a:schemeClr val="tx1"/>
              </a:solidFill>
            </a:endParaRPr>
          </a:p>
        </c:rich>
      </c:tx>
      <c:layout>
        <c:manualLayout>
          <c:xMode val="edge"/>
          <c:yMode val="edge"/>
          <c:x val="3.510593100322891E-2"/>
          <c:y val="3.24074781914396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'Average Sales Product Category '!$B$3:$B$4</c:f>
              <c:strCache>
                <c:ptCount val="1"/>
                <c:pt idx="0">
                  <c:v>Central</c:v>
                </c:pt>
              </c:strCache>
            </c:strRef>
          </c:tx>
          <c:spPr>
            <a:ln w="28575" cap="rnd">
              <a:solidFill>
                <a:schemeClr val="accent1"/>
              </a:solidFill>
              <a:round/>
            </a:ln>
            <a:effectLst/>
          </c:spPr>
          <c:marker>
            <c:symbol val="none"/>
          </c:marker>
          <c:cat>
            <c:strRef>
              <c:f>'Average Sales Product Category '!$A$5:$A$9</c:f>
              <c:strCache>
                <c:ptCount val="5"/>
                <c:pt idx="0">
                  <c:v>Books</c:v>
                </c:pt>
                <c:pt idx="1">
                  <c:v>Clothing</c:v>
                </c:pt>
                <c:pt idx="2">
                  <c:v>Electronics</c:v>
                </c:pt>
                <c:pt idx="3">
                  <c:v>Furniture</c:v>
                </c:pt>
                <c:pt idx="4">
                  <c:v>Office Supplies</c:v>
                </c:pt>
              </c:strCache>
            </c:strRef>
          </c:cat>
          <c:val>
            <c:numRef>
              <c:f>'Average Sales Product Category '!$B$5:$B$9</c:f>
              <c:numCache>
                <c:formatCode>General</c:formatCode>
                <c:ptCount val="5"/>
                <c:pt idx="0">
                  <c:v>60</c:v>
                </c:pt>
                <c:pt idx="1">
                  <c:v>1150</c:v>
                </c:pt>
                <c:pt idx="2">
                  <c:v>12000</c:v>
                </c:pt>
                <c:pt idx="3">
                  <c:v>40000</c:v>
                </c:pt>
                <c:pt idx="4">
                  <c:v>10000</c:v>
                </c:pt>
              </c:numCache>
            </c:numRef>
          </c:val>
          <c:smooth val="0"/>
          <c:extLst>
            <c:ext xmlns:c16="http://schemas.microsoft.com/office/drawing/2014/chart" uri="{C3380CC4-5D6E-409C-BE32-E72D297353CC}">
              <c16:uniqueId val="{00000000-0ABE-485D-816D-CB17201AFF2D}"/>
            </c:ext>
          </c:extLst>
        </c:ser>
        <c:ser>
          <c:idx val="1"/>
          <c:order val="1"/>
          <c:tx>
            <c:strRef>
              <c:f>'Average Sales Product Category '!$C$3:$C$4</c:f>
              <c:strCache>
                <c:ptCount val="1"/>
                <c:pt idx="0">
                  <c:v>East</c:v>
                </c:pt>
              </c:strCache>
            </c:strRef>
          </c:tx>
          <c:spPr>
            <a:ln w="28575" cap="rnd">
              <a:solidFill>
                <a:schemeClr val="accent2"/>
              </a:solidFill>
              <a:round/>
            </a:ln>
            <a:effectLst/>
          </c:spPr>
          <c:marker>
            <c:symbol val="none"/>
          </c:marker>
          <c:cat>
            <c:strRef>
              <c:f>'Average Sales Product Category '!$A$5:$A$9</c:f>
              <c:strCache>
                <c:ptCount val="5"/>
                <c:pt idx="0">
                  <c:v>Books</c:v>
                </c:pt>
                <c:pt idx="1">
                  <c:v>Clothing</c:v>
                </c:pt>
                <c:pt idx="2">
                  <c:v>Electronics</c:v>
                </c:pt>
                <c:pt idx="3">
                  <c:v>Furniture</c:v>
                </c:pt>
                <c:pt idx="4">
                  <c:v>Office Supplies</c:v>
                </c:pt>
              </c:strCache>
            </c:strRef>
          </c:cat>
          <c:val>
            <c:numRef>
              <c:f>'Average Sales Product Category '!$C$5:$C$9</c:f>
              <c:numCache>
                <c:formatCode>General</c:formatCode>
                <c:ptCount val="5"/>
                <c:pt idx="0">
                  <c:v>60</c:v>
                </c:pt>
                <c:pt idx="1">
                  <c:v>1150</c:v>
                </c:pt>
                <c:pt idx="2">
                  <c:v>12000</c:v>
                </c:pt>
                <c:pt idx="3">
                  <c:v>40000</c:v>
                </c:pt>
                <c:pt idx="4">
                  <c:v>10000</c:v>
                </c:pt>
              </c:numCache>
            </c:numRef>
          </c:val>
          <c:smooth val="0"/>
          <c:extLst>
            <c:ext xmlns:c16="http://schemas.microsoft.com/office/drawing/2014/chart" uri="{C3380CC4-5D6E-409C-BE32-E72D297353CC}">
              <c16:uniqueId val="{0000000A-0ABE-485D-816D-CB17201AFF2D}"/>
            </c:ext>
          </c:extLst>
        </c:ser>
        <c:ser>
          <c:idx val="2"/>
          <c:order val="2"/>
          <c:tx>
            <c:strRef>
              <c:f>'Average Sales Product Category '!$D$3:$D$4</c:f>
              <c:strCache>
                <c:ptCount val="1"/>
                <c:pt idx="0">
                  <c:v>North</c:v>
                </c:pt>
              </c:strCache>
            </c:strRef>
          </c:tx>
          <c:spPr>
            <a:ln w="28575" cap="rnd">
              <a:solidFill>
                <a:schemeClr val="accent3"/>
              </a:solidFill>
              <a:round/>
            </a:ln>
            <a:effectLst/>
          </c:spPr>
          <c:marker>
            <c:symbol val="none"/>
          </c:marker>
          <c:cat>
            <c:strRef>
              <c:f>'Average Sales Product Category '!$A$5:$A$9</c:f>
              <c:strCache>
                <c:ptCount val="5"/>
                <c:pt idx="0">
                  <c:v>Books</c:v>
                </c:pt>
                <c:pt idx="1">
                  <c:v>Clothing</c:v>
                </c:pt>
                <c:pt idx="2">
                  <c:v>Electronics</c:v>
                </c:pt>
                <c:pt idx="3">
                  <c:v>Furniture</c:v>
                </c:pt>
                <c:pt idx="4">
                  <c:v>Office Supplies</c:v>
                </c:pt>
              </c:strCache>
            </c:strRef>
          </c:cat>
          <c:val>
            <c:numRef>
              <c:f>'Average Sales Product Category '!$D$5:$D$9</c:f>
              <c:numCache>
                <c:formatCode>General</c:formatCode>
                <c:ptCount val="5"/>
                <c:pt idx="0">
                  <c:v>60</c:v>
                </c:pt>
                <c:pt idx="1">
                  <c:v>1150</c:v>
                </c:pt>
                <c:pt idx="2">
                  <c:v>12000</c:v>
                </c:pt>
                <c:pt idx="3">
                  <c:v>40000</c:v>
                </c:pt>
                <c:pt idx="4">
                  <c:v>10000</c:v>
                </c:pt>
              </c:numCache>
            </c:numRef>
          </c:val>
          <c:smooth val="0"/>
          <c:extLst>
            <c:ext xmlns:c16="http://schemas.microsoft.com/office/drawing/2014/chart" uri="{C3380CC4-5D6E-409C-BE32-E72D297353CC}">
              <c16:uniqueId val="{0000000B-0ABE-485D-816D-CB17201AFF2D}"/>
            </c:ext>
          </c:extLst>
        </c:ser>
        <c:ser>
          <c:idx val="3"/>
          <c:order val="3"/>
          <c:tx>
            <c:strRef>
              <c:f>'Average Sales Product Category '!$E$3:$E$4</c:f>
              <c:strCache>
                <c:ptCount val="1"/>
                <c:pt idx="0">
                  <c:v>South</c:v>
                </c:pt>
              </c:strCache>
            </c:strRef>
          </c:tx>
          <c:spPr>
            <a:ln w="28575" cap="rnd">
              <a:solidFill>
                <a:schemeClr val="accent4"/>
              </a:solidFill>
              <a:round/>
            </a:ln>
            <a:effectLst/>
          </c:spPr>
          <c:marker>
            <c:symbol val="none"/>
          </c:marker>
          <c:cat>
            <c:strRef>
              <c:f>'Average Sales Product Category '!$A$5:$A$9</c:f>
              <c:strCache>
                <c:ptCount val="5"/>
                <c:pt idx="0">
                  <c:v>Books</c:v>
                </c:pt>
                <c:pt idx="1">
                  <c:v>Clothing</c:v>
                </c:pt>
                <c:pt idx="2">
                  <c:v>Electronics</c:v>
                </c:pt>
                <c:pt idx="3">
                  <c:v>Furniture</c:v>
                </c:pt>
                <c:pt idx="4">
                  <c:v>Office Supplies</c:v>
                </c:pt>
              </c:strCache>
            </c:strRef>
          </c:cat>
          <c:val>
            <c:numRef>
              <c:f>'Average Sales Product Category '!$E$5:$E$9</c:f>
              <c:numCache>
                <c:formatCode>General</c:formatCode>
                <c:ptCount val="5"/>
                <c:pt idx="0">
                  <c:v>60</c:v>
                </c:pt>
                <c:pt idx="1">
                  <c:v>1150</c:v>
                </c:pt>
                <c:pt idx="2">
                  <c:v>12000</c:v>
                </c:pt>
                <c:pt idx="3">
                  <c:v>40000</c:v>
                </c:pt>
                <c:pt idx="4">
                  <c:v>10000</c:v>
                </c:pt>
              </c:numCache>
            </c:numRef>
          </c:val>
          <c:smooth val="0"/>
          <c:extLst>
            <c:ext xmlns:c16="http://schemas.microsoft.com/office/drawing/2014/chart" uri="{C3380CC4-5D6E-409C-BE32-E72D297353CC}">
              <c16:uniqueId val="{0000000C-0ABE-485D-816D-CB17201AFF2D}"/>
            </c:ext>
          </c:extLst>
        </c:ser>
        <c:ser>
          <c:idx val="4"/>
          <c:order val="4"/>
          <c:tx>
            <c:strRef>
              <c:f>'Average Sales Product Category '!$F$3:$F$4</c:f>
              <c:strCache>
                <c:ptCount val="1"/>
                <c:pt idx="0">
                  <c:v>West</c:v>
                </c:pt>
              </c:strCache>
            </c:strRef>
          </c:tx>
          <c:spPr>
            <a:ln w="28575" cap="rnd">
              <a:solidFill>
                <a:schemeClr val="accent5"/>
              </a:solidFill>
              <a:round/>
            </a:ln>
            <a:effectLst/>
          </c:spPr>
          <c:marker>
            <c:symbol val="none"/>
          </c:marker>
          <c:cat>
            <c:strRef>
              <c:f>'Average Sales Product Category '!$A$5:$A$9</c:f>
              <c:strCache>
                <c:ptCount val="5"/>
                <c:pt idx="0">
                  <c:v>Books</c:v>
                </c:pt>
                <c:pt idx="1">
                  <c:v>Clothing</c:v>
                </c:pt>
                <c:pt idx="2">
                  <c:v>Electronics</c:v>
                </c:pt>
                <c:pt idx="3">
                  <c:v>Furniture</c:v>
                </c:pt>
                <c:pt idx="4">
                  <c:v>Office Supplies</c:v>
                </c:pt>
              </c:strCache>
            </c:strRef>
          </c:cat>
          <c:val>
            <c:numRef>
              <c:f>'Average Sales Product Category '!$F$5:$F$9</c:f>
              <c:numCache>
                <c:formatCode>General</c:formatCode>
                <c:ptCount val="5"/>
                <c:pt idx="0">
                  <c:v>60</c:v>
                </c:pt>
                <c:pt idx="1">
                  <c:v>1150</c:v>
                </c:pt>
                <c:pt idx="2">
                  <c:v>12000</c:v>
                </c:pt>
                <c:pt idx="3">
                  <c:v>40000</c:v>
                </c:pt>
                <c:pt idx="4">
                  <c:v>10000</c:v>
                </c:pt>
              </c:numCache>
            </c:numRef>
          </c:val>
          <c:smooth val="0"/>
          <c:extLst>
            <c:ext xmlns:c16="http://schemas.microsoft.com/office/drawing/2014/chart" uri="{C3380CC4-5D6E-409C-BE32-E72D297353CC}">
              <c16:uniqueId val="{0000000D-0ABE-485D-816D-CB17201AFF2D}"/>
            </c:ext>
          </c:extLst>
        </c:ser>
        <c:dLbls>
          <c:showLegendKey val="0"/>
          <c:showVal val="0"/>
          <c:showCatName val="0"/>
          <c:showSerName val="0"/>
          <c:showPercent val="0"/>
          <c:showBubbleSize val="0"/>
        </c:dLbls>
        <c:smooth val="0"/>
        <c:axId val="2109574576"/>
        <c:axId val="2109574096"/>
      </c:lineChart>
      <c:catAx>
        <c:axId val="210957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9574096"/>
        <c:crosses val="autoZero"/>
        <c:auto val="1"/>
        <c:lblAlgn val="ctr"/>
        <c:lblOffset val="100"/>
        <c:noMultiLvlLbl val="0"/>
      </c:catAx>
      <c:valAx>
        <c:axId val="210957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9574576"/>
        <c:crosses val="autoZero"/>
        <c:crossBetween val="between"/>
      </c:valAx>
      <c:spPr>
        <a:noFill/>
        <a:ln>
          <a:noFill/>
        </a:ln>
        <a:effectLst/>
      </c:spPr>
    </c:plotArea>
    <c:legend>
      <c:legendPos val="r"/>
      <c:layout>
        <c:manualLayout>
          <c:xMode val="edge"/>
          <c:yMode val="edge"/>
          <c:x val="0.82488867016622935"/>
          <c:y val="3.0312044327792342E-2"/>
          <c:w val="0.17398105137936895"/>
          <c:h val="0.533468813971069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Analyzer.xlsx]Total Sales VS Region!PivotTable1</c:name>
    <c:fmtId val="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Total</a:t>
            </a:r>
            <a:r>
              <a:rPr lang="en-IN" sz="1600" b="1" baseline="0">
                <a:solidFill>
                  <a:schemeClr val="tx1"/>
                </a:solidFill>
              </a:rPr>
              <a:t> Sales VS Region</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92D050"/>
          </a:solidFill>
          <a:ln>
            <a:solidFill>
              <a:schemeClr val="tx1"/>
            </a:solidFill>
            <a:extLst>
              <a:ext uri="{C807C97D-BFC1-408E-A445-0C87EB9F89A2}">
                <ask:lineSketchStyleProps xmlns:ask="http://schemas.microsoft.com/office/drawing/2018/sketchyshapes">
                  <ask:type>
                    <ask:lineSketchNone/>
                  </ask:type>
                </ask:lineSketchStyleProps>
              </a:ext>
            </a:extLs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VS Region'!$B$3</c:f>
              <c:strCache>
                <c:ptCount val="1"/>
                <c:pt idx="0">
                  <c:v>Total</c:v>
                </c:pt>
              </c:strCache>
            </c:strRef>
          </c:tx>
          <c:spPr>
            <a:solidFill>
              <a:srgbClr val="92D050"/>
            </a:solidFill>
            <a:ln>
              <a:solidFill>
                <a:schemeClr val="tx1"/>
              </a:solidFill>
              <a:extLst>
                <a:ext uri="{C807C97D-BFC1-408E-A445-0C87EB9F89A2}">
                  <ask:lineSketchStyleProps xmlns:ask="http://schemas.microsoft.com/office/drawing/2018/sketchyshapes">
                    <ask:type>
                      <ask:lineSketchNone/>
                    </ask:type>
                  </ask:lineSketchStyleProps>
                </a:ext>
              </a:extLst>
            </a:ln>
            <a:effectLst/>
          </c:spPr>
          <c:invertIfNegative val="0"/>
          <c:cat>
            <c:strRef>
              <c:f>'Total Sales VS Region'!$A$4:$A$8</c:f>
              <c:strCache>
                <c:ptCount val="5"/>
                <c:pt idx="0">
                  <c:v>Central</c:v>
                </c:pt>
                <c:pt idx="1">
                  <c:v>East</c:v>
                </c:pt>
                <c:pt idx="2">
                  <c:v>North</c:v>
                </c:pt>
                <c:pt idx="3">
                  <c:v>South</c:v>
                </c:pt>
                <c:pt idx="4">
                  <c:v>West</c:v>
                </c:pt>
              </c:strCache>
            </c:strRef>
          </c:cat>
          <c:val>
            <c:numRef>
              <c:f>'Total Sales VS Region'!$B$4:$B$8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98D1-4454-B208-5373132C7525}"/>
            </c:ext>
          </c:extLst>
        </c:ser>
        <c:dLbls>
          <c:showLegendKey val="0"/>
          <c:showVal val="0"/>
          <c:showCatName val="0"/>
          <c:showSerName val="0"/>
          <c:showPercent val="0"/>
          <c:showBubbleSize val="0"/>
        </c:dLbls>
        <c:gapWidth val="182"/>
        <c:axId val="1661864368"/>
        <c:axId val="1969845056"/>
      </c:barChart>
      <c:catAx>
        <c:axId val="166186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9845056"/>
        <c:crosses val="autoZero"/>
        <c:auto val="1"/>
        <c:lblAlgn val="ctr"/>
        <c:lblOffset val="100"/>
        <c:noMultiLvlLbl val="0"/>
      </c:catAx>
      <c:valAx>
        <c:axId val="196984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186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Analyzer.xlsx]Total Sales VS Product Category!PivotTable2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Total</a:t>
            </a:r>
            <a:r>
              <a:rPr lang="en-IN" b="1" baseline="0">
                <a:solidFill>
                  <a:schemeClr val="tx1"/>
                </a:solidFill>
              </a:rPr>
              <a:t> Sales VS Product Category</a:t>
            </a:r>
            <a:endParaRPr lang="en-IN" b="1">
              <a:solidFill>
                <a:schemeClr val="tx1"/>
              </a:solidFill>
            </a:endParaRPr>
          </a:p>
        </c:rich>
      </c:tx>
      <c:layout>
        <c:manualLayout>
          <c:xMode val="edge"/>
          <c:yMode val="edge"/>
          <c:x val="4.9367891513560809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81780402449697"/>
          <c:y val="0.14796004666083407"/>
          <c:w val="0.46436461067366569"/>
          <c:h val="0.7739410177894428"/>
        </c:manualLayout>
      </c:layout>
      <c:pieChart>
        <c:varyColors val="1"/>
        <c:ser>
          <c:idx val="0"/>
          <c:order val="0"/>
          <c:tx>
            <c:strRef>
              <c:f>'Total Sales VS Product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993D-4755-9BA9-B968863EE158}"/>
              </c:ext>
            </c:extLst>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Sales VS Product Category'!$A$4:$A$8</c:f>
              <c:strCache>
                <c:ptCount val="5"/>
                <c:pt idx="0">
                  <c:v>Books</c:v>
                </c:pt>
                <c:pt idx="1">
                  <c:v>Clothing</c:v>
                </c:pt>
                <c:pt idx="2">
                  <c:v>Electronics</c:v>
                </c:pt>
                <c:pt idx="3">
                  <c:v>Furniture</c:v>
                </c:pt>
                <c:pt idx="4">
                  <c:v>Office Supplies</c:v>
                </c:pt>
              </c:strCache>
            </c:strRef>
          </c:cat>
          <c:val>
            <c:numRef>
              <c:f>'Total Sales VS Product Category'!$B$4:$B$8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993D-4755-9BA9-B968863EE1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111111111111107"/>
          <c:y val="4.9039078448527243E-2"/>
          <c:w val="0.21388888888888888"/>
          <c:h val="0.453264435695538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Analyzer.xlsx]Average Sales Product Category !PivotTable3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Average</a:t>
            </a:r>
            <a:r>
              <a:rPr lang="en-IN" b="1" baseline="0">
                <a:solidFill>
                  <a:schemeClr val="tx1"/>
                </a:solidFill>
              </a:rPr>
              <a:t> Sales:Product Category VS Region</a:t>
            </a:r>
            <a:endParaRPr lang="en-IN" b="1">
              <a:solidFill>
                <a:schemeClr val="tx1"/>
              </a:solidFill>
            </a:endParaRPr>
          </a:p>
        </c:rich>
      </c:tx>
      <c:layout>
        <c:manualLayout>
          <c:xMode val="edge"/>
          <c:yMode val="edge"/>
          <c:x val="9.8055555555555562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'Average Sales Product Category '!$B$3:$B$4</c:f>
              <c:strCache>
                <c:ptCount val="1"/>
                <c:pt idx="0">
                  <c:v>Central</c:v>
                </c:pt>
              </c:strCache>
            </c:strRef>
          </c:tx>
          <c:spPr>
            <a:ln w="28575" cap="rnd">
              <a:solidFill>
                <a:schemeClr val="accent1"/>
              </a:solidFill>
              <a:round/>
            </a:ln>
            <a:effectLst/>
          </c:spPr>
          <c:marker>
            <c:symbol val="none"/>
          </c:marker>
          <c:cat>
            <c:strRef>
              <c:f>'Average Sales Product Category '!$A$5:$A$9</c:f>
              <c:strCache>
                <c:ptCount val="5"/>
                <c:pt idx="0">
                  <c:v>Books</c:v>
                </c:pt>
                <c:pt idx="1">
                  <c:v>Clothing</c:v>
                </c:pt>
                <c:pt idx="2">
                  <c:v>Electronics</c:v>
                </c:pt>
                <c:pt idx="3">
                  <c:v>Furniture</c:v>
                </c:pt>
                <c:pt idx="4">
                  <c:v>Office Supplies</c:v>
                </c:pt>
              </c:strCache>
            </c:strRef>
          </c:cat>
          <c:val>
            <c:numRef>
              <c:f>'Average Sales Product Category '!$B$5:$B$9</c:f>
              <c:numCache>
                <c:formatCode>General</c:formatCode>
                <c:ptCount val="5"/>
                <c:pt idx="0">
                  <c:v>60</c:v>
                </c:pt>
                <c:pt idx="1">
                  <c:v>1150</c:v>
                </c:pt>
                <c:pt idx="2">
                  <c:v>12000</c:v>
                </c:pt>
                <c:pt idx="3">
                  <c:v>40000</c:v>
                </c:pt>
                <c:pt idx="4">
                  <c:v>10000</c:v>
                </c:pt>
              </c:numCache>
            </c:numRef>
          </c:val>
          <c:smooth val="0"/>
          <c:extLst>
            <c:ext xmlns:c16="http://schemas.microsoft.com/office/drawing/2014/chart" uri="{C3380CC4-5D6E-409C-BE32-E72D297353CC}">
              <c16:uniqueId val="{00000000-E97B-4FB3-ADB0-007751B7E6CF}"/>
            </c:ext>
          </c:extLst>
        </c:ser>
        <c:ser>
          <c:idx val="1"/>
          <c:order val="1"/>
          <c:tx>
            <c:strRef>
              <c:f>'Average Sales Product Category '!$C$3:$C$4</c:f>
              <c:strCache>
                <c:ptCount val="1"/>
                <c:pt idx="0">
                  <c:v>East</c:v>
                </c:pt>
              </c:strCache>
            </c:strRef>
          </c:tx>
          <c:spPr>
            <a:ln w="28575" cap="rnd">
              <a:solidFill>
                <a:schemeClr val="accent2"/>
              </a:solidFill>
              <a:round/>
            </a:ln>
            <a:effectLst/>
          </c:spPr>
          <c:marker>
            <c:symbol val="none"/>
          </c:marker>
          <c:cat>
            <c:strRef>
              <c:f>'Average Sales Product Category '!$A$5:$A$9</c:f>
              <c:strCache>
                <c:ptCount val="5"/>
                <c:pt idx="0">
                  <c:v>Books</c:v>
                </c:pt>
                <c:pt idx="1">
                  <c:v>Clothing</c:v>
                </c:pt>
                <c:pt idx="2">
                  <c:v>Electronics</c:v>
                </c:pt>
                <c:pt idx="3">
                  <c:v>Furniture</c:v>
                </c:pt>
                <c:pt idx="4">
                  <c:v>Office Supplies</c:v>
                </c:pt>
              </c:strCache>
            </c:strRef>
          </c:cat>
          <c:val>
            <c:numRef>
              <c:f>'Average Sales Product Category '!$C$5:$C$9</c:f>
              <c:numCache>
                <c:formatCode>General</c:formatCode>
                <c:ptCount val="5"/>
                <c:pt idx="0">
                  <c:v>60</c:v>
                </c:pt>
                <c:pt idx="1">
                  <c:v>1150</c:v>
                </c:pt>
                <c:pt idx="2">
                  <c:v>12000</c:v>
                </c:pt>
                <c:pt idx="3">
                  <c:v>40000</c:v>
                </c:pt>
                <c:pt idx="4">
                  <c:v>10000</c:v>
                </c:pt>
              </c:numCache>
            </c:numRef>
          </c:val>
          <c:smooth val="0"/>
          <c:extLst>
            <c:ext xmlns:c16="http://schemas.microsoft.com/office/drawing/2014/chart" uri="{C3380CC4-5D6E-409C-BE32-E72D297353CC}">
              <c16:uniqueId val="{0000000A-E97B-4FB3-ADB0-007751B7E6CF}"/>
            </c:ext>
          </c:extLst>
        </c:ser>
        <c:ser>
          <c:idx val="2"/>
          <c:order val="2"/>
          <c:tx>
            <c:strRef>
              <c:f>'Average Sales Product Category '!$D$3:$D$4</c:f>
              <c:strCache>
                <c:ptCount val="1"/>
                <c:pt idx="0">
                  <c:v>North</c:v>
                </c:pt>
              </c:strCache>
            </c:strRef>
          </c:tx>
          <c:spPr>
            <a:ln w="28575" cap="rnd">
              <a:solidFill>
                <a:schemeClr val="accent3"/>
              </a:solidFill>
              <a:round/>
            </a:ln>
            <a:effectLst/>
          </c:spPr>
          <c:marker>
            <c:symbol val="none"/>
          </c:marker>
          <c:cat>
            <c:strRef>
              <c:f>'Average Sales Product Category '!$A$5:$A$9</c:f>
              <c:strCache>
                <c:ptCount val="5"/>
                <c:pt idx="0">
                  <c:v>Books</c:v>
                </c:pt>
                <c:pt idx="1">
                  <c:v>Clothing</c:v>
                </c:pt>
                <c:pt idx="2">
                  <c:v>Electronics</c:v>
                </c:pt>
                <c:pt idx="3">
                  <c:v>Furniture</c:v>
                </c:pt>
                <c:pt idx="4">
                  <c:v>Office Supplies</c:v>
                </c:pt>
              </c:strCache>
            </c:strRef>
          </c:cat>
          <c:val>
            <c:numRef>
              <c:f>'Average Sales Product Category '!$D$5:$D$9</c:f>
              <c:numCache>
                <c:formatCode>General</c:formatCode>
                <c:ptCount val="5"/>
                <c:pt idx="0">
                  <c:v>60</c:v>
                </c:pt>
                <c:pt idx="1">
                  <c:v>1150</c:v>
                </c:pt>
                <c:pt idx="2">
                  <c:v>12000</c:v>
                </c:pt>
                <c:pt idx="3">
                  <c:v>40000</c:v>
                </c:pt>
                <c:pt idx="4">
                  <c:v>10000</c:v>
                </c:pt>
              </c:numCache>
            </c:numRef>
          </c:val>
          <c:smooth val="0"/>
          <c:extLst>
            <c:ext xmlns:c16="http://schemas.microsoft.com/office/drawing/2014/chart" uri="{C3380CC4-5D6E-409C-BE32-E72D297353CC}">
              <c16:uniqueId val="{0000000B-E97B-4FB3-ADB0-007751B7E6CF}"/>
            </c:ext>
          </c:extLst>
        </c:ser>
        <c:ser>
          <c:idx val="3"/>
          <c:order val="3"/>
          <c:tx>
            <c:strRef>
              <c:f>'Average Sales Product Category '!$E$3:$E$4</c:f>
              <c:strCache>
                <c:ptCount val="1"/>
                <c:pt idx="0">
                  <c:v>South</c:v>
                </c:pt>
              </c:strCache>
            </c:strRef>
          </c:tx>
          <c:spPr>
            <a:ln w="28575" cap="rnd">
              <a:solidFill>
                <a:schemeClr val="accent4"/>
              </a:solidFill>
              <a:round/>
            </a:ln>
            <a:effectLst/>
          </c:spPr>
          <c:marker>
            <c:symbol val="none"/>
          </c:marker>
          <c:cat>
            <c:strRef>
              <c:f>'Average Sales Product Category '!$A$5:$A$9</c:f>
              <c:strCache>
                <c:ptCount val="5"/>
                <c:pt idx="0">
                  <c:v>Books</c:v>
                </c:pt>
                <c:pt idx="1">
                  <c:v>Clothing</c:v>
                </c:pt>
                <c:pt idx="2">
                  <c:v>Electronics</c:v>
                </c:pt>
                <c:pt idx="3">
                  <c:v>Furniture</c:v>
                </c:pt>
                <c:pt idx="4">
                  <c:v>Office Supplies</c:v>
                </c:pt>
              </c:strCache>
            </c:strRef>
          </c:cat>
          <c:val>
            <c:numRef>
              <c:f>'Average Sales Product Category '!$E$5:$E$9</c:f>
              <c:numCache>
                <c:formatCode>General</c:formatCode>
                <c:ptCount val="5"/>
                <c:pt idx="0">
                  <c:v>60</c:v>
                </c:pt>
                <c:pt idx="1">
                  <c:v>1150</c:v>
                </c:pt>
                <c:pt idx="2">
                  <c:v>12000</c:v>
                </c:pt>
                <c:pt idx="3">
                  <c:v>40000</c:v>
                </c:pt>
                <c:pt idx="4">
                  <c:v>10000</c:v>
                </c:pt>
              </c:numCache>
            </c:numRef>
          </c:val>
          <c:smooth val="0"/>
          <c:extLst>
            <c:ext xmlns:c16="http://schemas.microsoft.com/office/drawing/2014/chart" uri="{C3380CC4-5D6E-409C-BE32-E72D297353CC}">
              <c16:uniqueId val="{0000000C-E97B-4FB3-ADB0-007751B7E6CF}"/>
            </c:ext>
          </c:extLst>
        </c:ser>
        <c:ser>
          <c:idx val="4"/>
          <c:order val="4"/>
          <c:tx>
            <c:strRef>
              <c:f>'Average Sales Product Category '!$F$3:$F$4</c:f>
              <c:strCache>
                <c:ptCount val="1"/>
                <c:pt idx="0">
                  <c:v>West</c:v>
                </c:pt>
              </c:strCache>
            </c:strRef>
          </c:tx>
          <c:spPr>
            <a:ln w="28575" cap="rnd">
              <a:solidFill>
                <a:schemeClr val="accent5"/>
              </a:solidFill>
              <a:round/>
            </a:ln>
            <a:effectLst/>
          </c:spPr>
          <c:marker>
            <c:symbol val="none"/>
          </c:marker>
          <c:cat>
            <c:strRef>
              <c:f>'Average Sales Product Category '!$A$5:$A$9</c:f>
              <c:strCache>
                <c:ptCount val="5"/>
                <c:pt idx="0">
                  <c:v>Books</c:v>
                </c:pt>
                <c:pt idx="1">
                  <c:v>Clothing</c:v>
                </c:pt>
                <c:pt idx="2">
                  <c:v>Electronics</c:v>
                </c:pt>
                <c:pt idx="3">
                  <c:v>Furniture</c:v>
                </c:pt>
                <c:pt idx="4">
                  <c:v>Office Supplies</c:v>
                </c:pt>
              </c:strCache>
            </c:strRef>
          </c:cat>
          <c:val>
            <c:numRef>
              <c:f>'Average Sales Product Category '!$F$5:$F$9</c:f>
              <c:numCache>
                <c:formatCode>General</c:formatCode>
                <c:ptCount val="5"/>
                <c:pt idx="0">
                  <c:v>60</c:v>
                </c:pt>
                <c:pt idx="1">
                  <c:v>1150</c:v>
                </c:pt>
                <c:pt idx="2">
                  <c:v>12000</c:v>
                </c:pt>
                <c:pt idx="3">
                  <c:v>40000</c:v>
                </c:pt>
                <c:pt idx="4">
                  <c:v>10000</c:v>
                </c:pt>
              </c:numCache>
            </c:numRef>
          </c:val>
          <c:smooth val="0"/>
          <c:extLst>
            <c:ext xmlns:c16="http://schemas.microsoft.com/office/drawing/2014/chart" uri="{C3380CC4-5D6E-409C-BE32-E72D297353CC}">
              <c16:uniqueId val="{0000000D-E97B-4FB3-ADB0-007751B7E6CF}"/>
            </c:ext>
          </c:extLst>
        </c:ser>
        <c:dLbls>
          <c:showLegendKey val="0"/>
          <c:showVal val="0"/>
          <c:showCatName val="0"/>
          <c:showSerName val="0"/>
          <c:showPercent val="0"/>
          <c:showBubbleSize val="0"/>
        </c:dLbls>
        <c:smooth val="0"/>
        <c:axId val="2109574576"/>
        <c:axId val="2109574096"/>
      </c:lineChart>
      <c:catAx>
        <c:axId val="210957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9574096"/>
        <c:crosses val="autoZero"/>
        <c:auto val="1"/>
        <c:lblAlgn val="ctr"/>
        <c:lblOffset val="100"/>
        <c:noMultiLvlLbl val="0"/>
      </c:catAx>
      <c:valAx>
        <c:axId val="210957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9574576"/>
        <c:crosses val="autoZero"/>
        <c:crossBetween val="between"/>
      </c:valAx>
      <c:spPr>
        <a:noFill/>
        <a:ln>
          <a:noFill/>
        </a:ln>
        <a:effectLst/>
      </c:spPr>
    </c:plotArea>
    <c:legend>
      <c:legendPos val="r"/>
      <c:layout>
        <c:manualLayout>
          <c:xMode val="edge"/>
          <c:yMode val="edge"/>
          <c:x val="0.82488867016622935"/>
          <c:y val="3.0312044327792342E-2"/>
          <c:w val="0.16122244094488189"/>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198120</xdr:colOff>
      <xdr:row>4</xdr:row>
      <xdr:rowOff>7620</xdr:rowOff>
    </xdr:from>
    <xdr:to>
      <xdr:col>7</xdr:col>
      <xdr:colOff>541020</xdr:colOff>
      <xdr:row>16</xdr:row>
      <xdr:rowOff>129540</xdr:rowOff>
    </xdr:to>
    <xdr:graphicFrame macro="">
      <xdr:nvGraphicFramePr>
        <xdr:cNvPr id="2" name="Chart 1">
          <a:extLst>
            <a:ext uri="{FF2B5EF4-FFF2-40B4-BE49-F238E27FC236}">
              <a16:creationId xmlns:a16="http://schemas.microsoft.com/office/drawing/2014/main" id="{8EF967B7-2DA1-4CA7-93C8-540EDA9C6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198120</xdr:colOff>
      <xdr:row>4</xdr:row>
      <xdr:rowOff>7620</xdr:rowOff>
    </xdr:from>
    <xdr:to>
      <xdr:col>15</xdr:col>
      <xdr:colOff>68580</xdr:colOff>
      <xdr:row>16</xdr:row>
      <xdr:rowOff>160020</xdr:rowOff>
    </xdr:to>
    <xdr:graphicFrame macro="">
      <xdr:nvGraphicFramePr>
        <xdr:cNvPr id="3" name="Chart 2">
          <a:extLst>
            <a:ext uri="{FF2B5EF4-FFF2-40B4-BE49-F238E27FC236}">
              <a16:creationId xmlns:a16="http://schemas.microsoft.com/office/drawing/2014/main" id="{B54C0431-8AB9-422A-B671-0E79DAE8A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358140</xdr:colOff>
      <xdr:row>4</xdr:row>
      <xdr:rowOff>7620</xdr:rowOff>
    </xdr:from>
    <xdr:to>
      <xdr:col>22</xdr:col>
      <xdr:colOff>327660</xdr:colOff>
      <xdr:row>16</xdr:row>
      <xdr:rowOff>167640</xdr:rowOff>
    </xdr:to>
    <xdr:graphicFrame macro="">
      <xdr:nvGraphicFramePr>
        <xdr:cNvPr id="4" name="Chart 3">
          <a:extLst>
            <a:ext uri="{FF2B5EF4-FFF2-40B4-BE49-F238E27FC236}">
              <a16:creationId xmlns:a16="http://schemas.microsoft.com/office/drawing/2014/main" id="{151F9E14-932E-4B2F-97A9-E9E6E7DF5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510540</xdr:colOff>
      <xdr:row>17</xdr:row>
      <xdr:rowOff>68580</xdr:rowOff>
    </xdr:from>
    <xdr:to>
      <xdr:col>5</xdr:col>
      <xdr:colOff>320040</xdr:colOff>
      <xdr:row>26</xdr:row>
      <xdr:rowOff>152400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DF9EF4B-3415-7315-3EDC-2B0E796CEF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29740" y="3177540"/>
              <a:ext cx="163830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60960</xdr:colOff>
      <xdr:row>17</xdr:row>
      <xdr:rowOff>99060</xdr:rowOff>
    </xdr:from>
    <xdr:to>
      <xdr:col>13</xdr:col>
      <xdr:colOff>38100</xdr:colOff>
      <xdr:row>26</xdr:row>
      <xdr:rowOff>152399</xdr:rowOff>
    </xdr:to>
    <mc:AlternateContent xmlns:mc="http://schemas.openxmlformats.org/markup-compatibility/2006">
      <mc:Choice xmlns:a14="http://schemas.microsoft.com/office/drawing/2010/main" Requires="a14">
        <xdr:graphicFrame macro="">
          <xdr:nvGraphicFramePr>
            <xdr:cNvPr id="6" name="Product_Category">
              <a:extLst>
                <a:ext uri="{FF2B5EF4-FFF2-40B4-BE49-F238E27FC236}">
                  <a16:creationId xmlns:a16="http://schemas.microsoft.com/office/drawing/2014/main" id="{29B46401-EE4A-1B4D-311A-6A012A21506A}"/>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6156960" y="3208020"/>
              <a:ext cx="180594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167640</xdr:colOff>
      <xdr:row>17</xdr:row>
      <xdr:rowOff>76201</xdr:rowOff>
    </xdr:from>
    <xdr:to>
      <xdr:col>19</xdr:col>
      <xdr:colOff>541020</xdr:colOff>
      <xdr:row>26</xdr:row>
      <xdr:rowOff>76201</xdr:rowOff>
    </xdr:to>
    <mc:AlternateContent xmlns:mc="http://schemas.openxmlformats.org/markup-compatibility/2006">
      <mc:Choice xmlns:a14="http://schemas.microsoft.com/office/drawing/2010/main" Requires="a14">
        <xdr:graphicFrame macro="">
          <xdr:nvGraphicFramePr>
            <xdr:cNvPr id="7" name="Sales">
              <a:extLst>
                <a:ext uri="{FF2B5EF4-FFF2-40B4-BE49-F238E27FC236}">
                  <a16:creationId xmlns:a16="http://schemas.microsoft.com/office/drawing/2014/main" id="{6565E37F-7D0A-FD30-CE22-A9BD2EE467AA}"/>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0530840" y="3185161"/>
              <a:ext cx="159258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541020</xdr:colOff>
      <xdr:row>3</xdr:row>
      <xdr:rowOff>83820</xdr:rowOff>
    </xdr:from>
    <xdr:to>
      <xdr:col>11</xdr:col>
      <xdr:colOff>83820</xdr:colOff>
      <xdr:row>18</xdr:row>
      <xdr:rowOff>83820</xdr:rowOff>
    </xdr:to>
    <xdr:graphicFrame macro="">
      <xdr:nvGraphicFramePr>
        <xdr:cNvPr id="2" name="Chart 1">
          <a:extLst>
            <a:ext uri="{FF2B5EF4-FFF2-40B4-BE49-F238E27FC236}">
              <a16:creationId xmlns:a16="http://schemas.microsoft.com/office/drawing/2014/main" id="{E2936450-0877-CA3D-C95B-B088CD927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83820</xdr:colOff>
      <xdr:row>2</xdr:row>
      <xdr:rowOff>15240</xdr:rowOff>
    </xdr:from>
    <xdr:to>
      <xdr:col>11</xdr:col>
      <xdr:colOff>388620</xdr:colOff>
      <xdr:row>17</xdr:row>
      <xdr:rowOff>15240</xdr:rowOff>
    </xdr:to>
    <xdr:graphicFrame macro="">
      <xdr:nvGraphicFramePr>
        <xdr:cNvPr id="2" name="Chart 1">
          <a:extLst>
            <a:ext uri="{FF2B5EF4-FFF2-40B4-BE49-F238E27FC236}">
              <a16:creationId xmlns:a16="http://schemas.microsoft.com/office/drawing/2014/main" id="{99CE4882-8DC4-1DAB-7719-0DCEE0A87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45720</xdr:colOff>
      <xdr:row>2</xdr:row>
      <xdr:rowOff>144780</xdr:rowOff>
    </xdr:from>
    <xdr:to>
      <xdr:col>18</xdr:col>
      <xdr:colOff>335280</xdr:colOff>
      <xdr:row>17</xdr:row>
      <xdr:rowOff>144780</xdr:rowOff>
    </xdr:to>
    <xdr:graphicFrame macro="">
      <xdr:nvGraphicFramePr>
        <xdr:cNvPr id="4" name="Chart 3">
          <a:extLst>
            <a:ext uri="{FF2B5EF4-FFF2-40B4-BE49-F238E27FC236}">
              <a16:creationId xmlns:a16="http://schemas.microsoft.com/office/drawing/2014/main" id="{E1E7EFC6-CF7F-6A1D-80A6-DCB103DF5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chi" refreshedDate="46058.85312349537" createdVersion="8" refreshedVersion="8" minRefreshableVersion="3" recordCount="200" xr:uid="{25DF3E27-644A-467E-8F55-7680018519AE}">
  <cacheSource type="worksheet">
    <worksheetSource ref="A1:M201" sheet="Dataset"/>
  </cacheSource>
  <cacheFields count="13">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PRICE" numFmtId="0">
      <sharedItems containsSemiMixedTypes="0" containsString="0" containsNumber="1" containsInteger="1" minValue="60" maxValue="40000"/>
    </cacheField>
    <cacheField name="Quantity" numFmtId="0">
      <sharedItems containsSemiMixedTypes="0" containsString="0" containsNumber="1" containsInteger="1" minValue="1" maxValue="19" count="19">
        <n v="4"/>
        <n v="3"/>
        <n v="17"/>
        <n v="12"/>
        <n v="8"/>
        <n v="6"/>
        <n v="11"/>
        <n v="2"/>
        <n v="14"/>
        <n v="7"/>
        <n v="15"/>
        <n v="10"/>
        <n v="13"/>
        <n v="9"/>
        <n v="18"/>
        <n v="19"/>
        <n v="5"/>
        <n v="1"/>
        <n v="16"/>
      </sharedItems>
    </cacheField>
    <cacheField name="TOTAL AMOUNT" numFmtId="0">
      <sharedItems containsSemiMixedTypes="0" containsString="0" containsNumber="1" containsInteger="1" minValue="120" maxValue="760000"/>
    </cacheField>
    <cacheField name="Discount" numFmtId="0">
      <sharedItems containsSemiMixedTypes="0" containsString="0" containsNumber="1" minValue="0" maxValue="0.5"/>
    </cacheField>
    <cacheField name="SALES AMOUNT" numFmtId="0">
      <sharedItems containsSemiMixedTypes="0" containsString="0" containsNumber="1" minValue="0" maxValue="152000"/>
    </cacheField>
    <cacheField name="FINAL AMOUNT" numFmtId="0">
      <sharedItems containsSemiMixedTypes="0" containsString="0" containsNumber="1" minValue="96" maxValue="722000"/>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pivotCacheId="15111574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x v="0"/>
    <n v="60"/>
    <x v="0"/>
    <n v="240"/>
    <n v="0.5"/>
    <n v="120"/>
    <n v="120"/>
    <d v="2024-04-10T00:00:00"/>
    <n v="331.55"/>
  </r>
  <r>
    <s v="CUST012"/>
    <x v="1"/>
    <x v="0"/>
    <x v="1"/>
    <x v="1"/>
    <n v="1150"/>
    <x v="1"/>
    <n v="3450"/>
    <n v="0.2"/>
    <n v="690"/>
    <n v="2760"/>
    <d v="2024-04-11T00:00:00"/>
    <n v="440.51"/>
  </r>
  <r>
    <s v="CUST017"/>
    <x v="2"/>
    <x v="1"/>
    <x v="0"/>
    <x v="2"/>
    <n v="60"/>
    <x v="2"/>
    <n v="1020"/>
    <n v="0"/>
    <n v="0"/>
    <n v="1020"/>
    <d v="2024-04-14T00:00:00"/>
    <n v="285.33999999999997"/>
  </r>
  <r>
    <s v="CUST005"/>
    <x v="1"/>
    <x v="2"/>
    <x v="2"/>
    <x v="3"/>
    <n v="12000"/>
    <x v="0"/>
    <n v="48000"/>
    <n v="0.15"/>
    <n v="7200"/>
    <n v="40800"/>
    <d v="2024-04-14T00:00:00"/>
    <n v="161.69999999999999"/>
  </r>
  <r>
    <s v="CUST030"/>
    <x v="3"/>
    <x v="3"/>
    <x v="0"/>
    <x v="4"/>
    <n v="60"/>
    <x v="3"/>
    <n v="720"/>
    <n v="0.2"/>
    <n v="144"/>
    <n v="576"/>
    <d v="2024-04-15T00:00:00"/>
    <n v="271.04000000000002"/>
  </r>
  <r>
    <s v="CUST007"/>
    <x v="4"/>
    <x v="3"/>
    <x v="3"/>
    <x v="5"/>
    <n v="40000"/>
    <x v="4"/>
    <n v="320000"/>
    <n v="0.1"/>
    <n v="32000"/>
    <n v="288000"/>
    <d v="2024-04-16T00:00:00"/>
    <n v="304.18"/>
  </r>
  <r>
    <s v="CUST001"/>
    <x v="5"/>
    <x v="0"/>
    <x v="2"/>
    <x v="6"/>
    <n v="12000"/>
    <x v="3"/>
    <n v="144000"/>
    <n v="0.05"/>
    <n v="7200"/>
    <n v="136800"/>
    <d v="2024-04-16T00:00:00"/>
    <n v="312.91000000000003"/>
  </r>
  <r>
    <s v="CUST026"/>
    <x v="6"/>
    <x v="1"/>
    <x v="3"/>
    <x v="7"/>
    <n v="40000"/>
    <x v="5"/>
    <n v="240000"/>
    <n v="0.2"/>
    <n v="48000"/>
    <n v="192000"/>
    <d v="2024-04-19T00:00:00"/>
    <n v="300.85000000000002"/>
  </r>
  <r>
    <s v="CUST009"/>
    <x v="7"/>
    <x v="4"/>
    <x v="0"/>
    <x v="8"/>
    <n v="60"/>
    <x v="6"/>
    <n v="660"/>
    <n v="0.05"/>
    <n v="33"/>
    <n v="627"/>
    <d v="2024-04-19T00:00:00"/>
    <n v="190.59"/>
  </r>
  <r>
    <s v="CUST010"/>
    <x v="8"/>
    <x v="4"/>
    <x v="1"/>
    <x v="9"/>
    <n v="1150"/>
    <x v="7"/>
    <n v="2300"/>
    <n v="0.05"/>
    <n v="115"/>
    <n v="2185"/>
    <d v="2024-04-19T00:00:00"/>
    <n v="350.22"/>
  </r>
  <r>
    <s v="CUST014"/>
    <x v="9"/>
    <x v="0"/>
    <x v="4"/>
    <x v="10"/>
    <n v="10000"/>
    <x v="5"/>
    <n v="60000"/>
    <n v="0.05"/>
    <n v="3000"/>
    <n v="57000"/>
    <d v="2024-04-20T00:00:00"/>
    <n v="672.38"/>
  </r>
  <r>
    <s v="CUST014"/>
    <x v="8"/>
    <x v="4"/>
    <x v="0"/>
    <x v="11"/>
    <n v="60"/>
    <x v="8"/>
    <n v="840"/>
    <n v="0.15"/>
    <n v="126"/>
    <n v="714"/>
    <d v="2024-04-22T00:00:00"/>
    <n v="456.66"/>
  </r>
  <r>
    <s v="CUST007"/>
    <x v="4"/>
    <x v="4"/>
    <x v="0"/>
    <x v="12"/>
    <n v="60"/>
    <x v="8"/>
    <n v="840"/>
    <n v="0.05"/>
    <n v="42"/>
    <n v="798"/>
    <d v="2024-04-24T00:00:00"/>
    <n v="452.8"/>
  </r>
  <r>
    <s v="CUST023"/>
    <x v="1"/>
    <x v="0"/>
    <x v="3"/>
    <x v="13"/>
    <n v="40000"/>
    <x v="9"/>
    <n v="280000"/>
    <n v="0.05"/>
    <n v="14000"/>
    <n v="266000"/>
    <d v="2024-04-24T00:00:00"/>
    <n v="273.41000000000003"/>
  </r>
  <r>
    <s v="CUST029"/>
    <x v="10"/>
    <x v="3"/>
    <x v="3"/>
    <x v="14"/>
    <n v="40000"/>
    <x v="10"/>
    <n v="600000"/>
    <n v="0.15"/>
    <n v="90000"/>
    <n v="510000"/>
    <d v="2024-04-27T00:00:00"/>
    <n v="155.19999999999999"/>
  </r>
  <r>
    <s v="CUST005"/>
    <x v="11"/>
    <x v="2"/>
    <x v="2"/>
    <x v="15"/>
    <n v="12000"/>
    <x v="8"/>
    <n v="168000"/>
    <n v="0.2"/>
    <n v="33600"/>
    <n v="134400"/>
    <d v="2024-04-28T00:00:00"/>
    <n v="300.58999999999997"/>
  </r>
  <r>
    <s v="CUST008"/>
    <x v="1"/>
    <x v="2"/>
    <x v="0"/>
    <x v="16"/>
    <n v="60"/>
    <x v="11"/>
    <n v="600"/>
    <n v="0.15"/>
    <n v="90"/>
    <n v="510"/>
    <d v="2024-04-29T00:00:00"/>
    <n v="298.38"/>
  </r>
  <r>
    <s v="CUST001"/>
    <x v="12"/>
    <x v="0"/>
    <x v="0"/>
    <x v="17"/>
    <n v="60"/>
    <x v="0"/>
    <n v="240"/>
    <n v="0.2"/>
    <n v="48"/>
    <n v="192"/>
    <d v="2024-04-29T00:00:00"/>
    <n v="203.74"/>
  </r>
  <r>
    <s v="CUST006"/>
    <x v="13"/>
    <x v="0"/>
    <x v="0"/>
    <x v="18"/>
    <n v="60"/>
    <x v="12"/>
    <n v="780"/>
    <n v="0.2"/>
    <n v="156"/>
    <n v="624"/>
    <d v="2024-04-30T00:00:00"/>
    <n v="481.96"/>
  </r>
  <r>
    <s v="CUST026"/>
    <x v="6"/>
    <x v="4"/>
    <x v="2"/>
    <x v="19"/>
    <n v="12000"/>
    <x v="0"/>
    <n v="48000"/>
    <n v="0"/>
    <n v="0"/>
    <n v="48000"/>
    <d v="2024-05-02T00:00:00"/>
    <n v="161.26"/>
  </r>
  <r>
    <s v="CUST007"/>
    <x v="14"/>
    <x v="2"/>
    <x v="1"/>
    <x v="20"/>
    <n v="1150"/>
    <x v="6"/>
    <n v="12650"/>
    <n v="0"/>
    <n v="0"/>
    <n v="12650"/>
    <d v="2024-05-03T00:00:00"/>
    <n v="476.65"/>
  </r>
  <r>
    <s v="CUST022"/>
    <x v="1"/>
    <x v="3"/>
    <x v="2"/>
    <x v="21"/>
    <n v="12000"/>
    <x v="8"/>
    <n v="168000"/>
    <n v="0.15"/>
    <n v="25200"/>
    <n v="142800"/>
    <d v="2024-05-04T00:00:00"/>
    <n v="82.57"/>
  </r>
  <r>
    <s v="CUST019"/>
    <x v="6"/>
    <x v="0"/>
    <x v="0"/>
    <x v="22"/>
    <n v="60"/>
    <x v="13"/>
    <n v="540"/>
    <n v="0"/>
    <n v="0"/>
    <n v="540"/>
    <d v="2024-05-04T00:00:00"/>
    <n v="297.27"/>
  </r>
  <r>
    <s v="CUST023"/>
    <x v="6"/>
    <x v="4"/>
    <x v="2"/>
    <x v="23"/>
    <n v="12000"/>
    <x v="5"/>
    <n v="72000"/>
    <n v="0"/>
    <n v="0"/>
    <n v="72000"/>
    <d v="2024-05-04T00:00:00"/>
    <n v="176.59"/>
  </r>
  <r>
    <s v="CUST012"/>
    <x v="6"/>
    <x v="4"/>
    <x v="4"/>
    <x v="24"/>
    <n v="10000"/>
    <x v="4"/>
    <n v="80000"/>
    <n v="0.1"/>
    <n v="8000"/>
    <n v="72000"/>
    <d v="2024-05-06T00:00:00"/>
    <n v="374.75"/>
  </r>
  <r>
    <s v="CUST010"/>
    <x v="15"/>
    <x v="2"/>
    <x v="2"/>
    <x v="25"/>
    <n v="12000"/>
    <x v="14"/>
    <n v="216000"/>
    <n v="0"/>
    <n v="0"/>
    <n v="216000"/>
    <d v="2024-05-06T00:00:00"/>
    <n v="293.27999999999997"/>
  </r>
  <r>
    <s v="CUST030"/>
    <x v="16"/>
    <x v="3"/>
    <x v="3"/>
    <x v="26"/>
    <n v="40000"/>
    <x v="2"/>
    <n v="680000"/>
    <n v="0"/>
    <n v="0"/>
    <n v="680000"/>
    <d v="2024-05-08T00:00:00"/>
    <n v="236.44"/>
  </r>
  <r>
    <s v="CUST007"/>
    <x v="1"/>
    <x v="4"/>
    <x v="0"/>
    <x v="27"/>
    <n v="60"/>
    <x v="7"/>
    <n v="120"/>
    <n v="0.05"/>
    <n v="6"/>
    <n v="114"/>
    <d v="2024-05-10T00:00:00"/>
    <n v="356.85"/>
  </r>
  <r>
    <s v="CUST028"/>
    <x v="17"/>
    <x v="1"/>
    <x v="4"/>
    <x v="28"/>
    <n v="10000"/>
    <x v="15"/>
    <n v="190000"/>
    <n v="0.1"/>
    <n v="19000"/>
    <n v="171000"/>
    <d v="2024-05-14T00:00:00"/>
    <n v="398.25"/>
  </r>
  <r>
    <s v="CUST028"/>
    <x v="3"/>
    <x v="2"/>
    <x v="2"/>
    <x v="29"/>
    <n v="12000"/>
    <x v="1"/>
    <n v="36000"/>
    <n v="0.2"/>
    <n v="7200"/>
    <n v="28800"/>
    <d v="2024-05-14T00:00:00"/>
    <n v="160.24"/>
  </r>
  <r>
    <s v="CUST025"/>
    <x v="18"/>
    <x v="3"/>
    <x v="2"/>
    <x v="30"/>
    <n v="12000"/>
    <x v="16"/>
    <n v="60000"/>
    <n v="0.1"/>
    <n v="6000"/>
    <n v="54000"/>
    <d v="2024-05-15T00:00:00"/>
    <n v="326.41000000000003"/>
  </r>
  <r>
    <s v="CUST022"/>
    <x v="19"/>
    <x v="4"/>
    <x v="0"/>
    <x v="31"/>
    <n v="60"/>
    <x v="14"/>
    <n v="1080"/>
    <n v="0.05"/>
    <n v="54"/>
    <n v="1026"/>
    <d v="2024-05-16T00:00:00"/>
    <n v="388.82"/>
  </r>
  <r>
    <s v="CUST001"/>
    <x v="13"/>
    <x v="0"/>
    <x v="3"/>
    <x v="32"/>
    <n v="40000"/>
    <x v="16"/>
    <n v="200000"/>
    <n v="0.15"/>
    <n v="30000"/>
    <n v="170000"/>
    <d v="2024-05-16T00:00:00"/>
    <n v="253.98"/>
  </r>
  <r>
    <s v="CUST021"/>
    <x v="11"/>
    <x v="2"/>
    <x v="2"/>
    <x v="33"/>
    <n v="12000"/>
    <x v="11"/>
    <n v="120000"/>
    <n v="0.1"/>
    <n v="12000"/>
    <n v="108000"/>
    <d v="2024-05-17T00:00:00"/>
    <n v="217.78"/>
  </r>
  <r>
    <s v="CUST015"/>
    <x v="17"/>
    <x v="3"/>
    <x v="4"/>
    <x v="34"/>
    <n v="10000"/>
    <x v="8"/>
    <n v="140000"/>
    <n v="0.05"/>
    <n v="7000"/>
    <n v="133000"/>
    <d v="2024-05-17T00:00:00"/>
    <n v="513.38"/>
  </r>
  <r>
    <s v="CUST012"/>
    <x v="4"/>
    <x v="0"/>
    <x v="0"/>
    <x v="35"/>
    <n v="60"/>
    <x v="3"/>
    <n v="720"/>
    <n v="0.2"/>
    <n v="144"/>
    <n v="576"/>
    <d v="2024-05-17T00:00:00"/>
    <n v="151.16"/>
  </r>
  <r>
    <s v="CUST019"/>
    <x v="18"/>
    <x v="1"/>
    <x v="4"/>
    <x v="36"/>
    <n v="10000"/>
    <x v="13"/>
    <n v="90000"/>
    <n v="0.05"/>
    <n v="4500"/>
    <n v="85500"/>
    <d v="2024-05-17T00:00:00"/>
    <n v="359.49"/>
  </r>
  <r>
    <s v="CUST028"/>
    <x v="14"/>
    <x v="4"/>
    <x v="3"/>
    <x v="37"/>
    <n v="40000"/>
    <x v="6"/>
    <n v="440000"/>
    <n v="0.05"/>
    <n v="22000"/>
    <n v="418000"/>
    <d v="2024-05-22T00:00:00"/>
    <n v="468.84"/>
  </r>
  <r>
    <s v="CUST008"/>
    <x v="20"/>
    <x v="4"/>
    <x v="3"/>
    <x v="38"/>
    <n v="40000"/>
    <x v="12"/>
    <n v="520000"/>
    <n v="0.15"/>
    <n v="78000"/>
    <n v="442000"/>
    <d v="2024-05-22T00:00:00"/>
    <n v="229.99"/>
  </r>
  <r>
    <s v="CUST016"/>
    <x v="21"/>
    <x v="1"/>
    <x v="0"/>
    <x v="39"/>
    <n v="60"/>
    <x v="15"/>
    <n v="1140"/>
    <n v="0.15"/>
    <n v="171"/>
    <n v="969"/>
    <d v="2024-05-23T00:00:00"/>
    <n v="197.35"/>
  </r>
  <r>
    <s v="CUST005"/>
    <x v="10"/>
    <x v="2"/>
    <x v="0"/>
    <x v="40"/>
    <n v="60"/>
    <x v="10"/>
    <n v="900"/>
    <n v="0.1"/>
    <n v="90"/>
    <n v="810"/>
    <d v="2024-06-02T00:00:00"/>
    <n v="414.44"/>
  </r>
  <r>
    <s v="CUST028"/>
    <x v="3"/>
    <x v="4"/>
    <x v="4"/>
    <x v="41"/>
    <n v="10000"/>
    <x v="16"/>
    <n v="50000"/>
    <n v="0.2"/>
    <n v="10000"/>
    <n v="40000"/>
    <d v="2024-06-04T00:00:00"/>
    <n v="369.35"/>
  </r>
  <r>
    <s v="CUST023"/>
    <x v="19"/>
    <x v="1"/>
    <x v="4"/>
    <x v="42"/>
    <n v="10000"/>
    <x v="6"/>
    <n v="110000"/>
    <n v="0.15"/>
    <n v="16500"/>
    <n v="93500"/>
    <d v="2024-06-04T00:00:00"/>
    <n v="212.83"/>
  </r>
  <r>
    <s v="CUST021"/>
    <x v="3"/>
    <x v="4"/>
    <x v="0"/>
    <x v="43"/>
    <n v="60"/>
    <x v="15"/>
    <n v="1140"/>
    <n v="0.1"/>
    <n v="114"/>
    <n v="1026"/>
    <d v="2024-06-05T00:00:00"/>
    <n v="302.70999999999998"/>
  </r>
  <r>
    <s v="CUST026"/>
    <x v="21"/>
    <x v="3"/>
    <x v="3"/>
    <x v="44"/>
    <n v="40000"/>
    <x v="3"/>
    <n v="480000"/>
    <n v="0.15"/>
    <n v="72000"/>
    <n v="408000"/>
    <d v="2024-06-05T00:00:00"/>
    <n v="365.11"/>
  </r>
  <r>
    <s v="CUST017"/>
    <x v="22"/>
    <x v="4"/>
    <x v="2"/>
    <x v="45"/>
    <n v="12000"/>
    <x v="7"/>
    <n v="24000"/>
    <n v="0"/>
    <n v="0"/>
    <n v="24000"/>
    <d v="2024-06-06T00:00:00"/>
    <n v="214.18"/>
  </r>
  <r>
    <s v="CUST025"/>
    <x v="19"/>
    <x v="4"/>
    <x v="4"/>
    <x v="46"/>
    <n v="10000"/>
    <x v="4"/>
    <n v="80000"/>
    <n v="0.15"/>
    <n v="12000"/>
    <n v="68000"/>
    <d v="2024-06-06T00:00:00"/>
    <n v="468.72"/>
  </r>
  <r>
    <s v="CUST011"/>
    <x v="6"/>
    <x v="3"/>
    <x v="4"/>
    <x v="47"/>
    <n v="10000"/>
    <x v="3"/>
    <n v="120000"/>
    <n v="0"/>
    <n v="0"/>
    <n v="120000"/>
    <d v="2024-06-07T00:00:00"/>
    <n v="450.71"/>
  </r>
  <r>
    <s v="CUST021"/>
    <x v="4"/>
    <x v="1"/>
    <x v="3"/>
    <x v="48"/>
    <n v="40000"/>
    <x v="15"/>
    <n v="760000"/>
    <n v="0.2"/>
    <n v="152000"/>
    <n v="608000"/>
    <d v="2024-06-08T00:00:00"/>
    <n v="332.32"/>
  </r>
  <r>
    <s v="CUST008"/>
    <x v="16"/>
    <x v="2"/>
    <x v="2"/>
    <x v="49"/>
    <n v="12000"/>
    <x v="5"/>
    <n v="72000"/>
    <n v="0.1"/>
    <n v="7200"/>
    <n v="64800"/>
    <d v="2024-06-14T00:00:00"/>
    <n v="174.48"/>
  </r>
  <r>
    <s v="CUST007"/>
    <x v="7"/>
    <x v="2"/>
    <x v="2"/>
    <x v="50"/>
    <n v="12000"/>
    <x v="5"/>
    <n v="72000"/>
    <n v="0.05"/>
    <n v="3600"/>
    <n v="68400"/>
    <d v="2024-06-18T00:00:00"/>
    <n v="242.6"/>
  </r>
  <r>
    <s v="CUST015"/>
    <x v="3"/>
    <x v="2"/>
    <x v="1"/>
    <x v="51"/>
    <n v="1150"/>
    <x v="9"/>
    <n v="8050"/>
    <n v="0.1"/>
    <n v="805"/>
    <n v="7245"/>
    <d v="2024-06-20T00:00:00"/>
    <n v="551.98"/>
  </r>
  <r>
    <s v="CUST030"/>
    <x v="23"/>
    <x v="2"/>
    <x v="3"/>
    <x v="52"/>
    <n v="40000"/>
    <x v="7"/>
    <n v="80000"/>
    <n v="0"/>
    <n v="0"/>
    <n v="80000"/>
    <d v="2024-06-21T00:00:00"/>
    <n v="380.43"/>
  </r>
  <r>
    <s v="CUST002"/>
    <x v="14"/>
    <x v="0"/>
    <x v="0"/>
    <x v="53"/>
    <n v="60"/>
    <x v="14"/>
    <n v="1080"/>
    <n v="0.1"/>
    <n v="108"/>
    <n v="972"/>
    <d v="2024-06-23T00:00:00"/>
    <n v="339.44"/>
  </r>
  <r>
    <s v="CUST009"/>
    <x v="9"/>
    <x v="3"/>
    <x v="2"/>
    <x v="54"/>
    <n v="12000"/>
    <x v="10"/>
    <n v="180000"/>
    <n v="0.15"/>
    <n v="27000"/>
    <n v="153000"/>
    <d v="2024-06-25T00:00:00"/>
    <n v="173.99"/>
  </r>
  <r>
    <s v="CUST005"/>
    <x v="1"/>
    <x v="2"/>
    <x v="3"/>
    <x v="55"/>
    <n v="40000"/>
    <x v="11"/>
    <n v="400000"/>
    <n v="0.2"/>
    <n v="80000"/>
    <n v="320000"/>
    <d v="2024-06-25T00:00:00"/>
    <n v="257.33"/>
  </r>
  <r>
    <s v="CUST030"/>
    <x v="24"/>
    <x v="4"/>
    <x v="0"/>
    <x v="56"/>
    <n v="60"/>
    <x v="6"/>
    <n v="660"/>
    <n v="0"/>
    <n v="0"/>
    <n v="660"/>
    <d v="2024-06-27T00:00:00"/>
    <n v="389.3"/>
  </r>
  <r>
    <s v="CUST029"/>
    <x v="23"/>
    <x v="3"/>
    <x v="2"/>
    <x v="57"/>
    <n v="12000"/>
    <x v="17"/>
    <n v="12000"/>
    <n v="0.2"/>
    <n v="2400"/>
    <n v="9600"/>
    <d v="2024-06-28T00:00:00"/>
    <n v="148.32"/>
  </r>
  <r>
    <s v="CUST003"/>
    <x v="9"/>
    <x v="3"/>
    <x v="0"/>
    <x v="58"/>
    <n v="60"/>
    <x v="7"/>
    <n v="120"/>
    <n v="0.1"/>
    <n v="12"/>
    <n v="108"/>
    <d v="2024-06-30T00:00:00"/>
    <n v="449.58"/>
  </r>
  <r>
    <s v="CUST012"/>
    <x v="20"/>
    <x v="0"/>
    <x v="1"/>
    <x v="59"/>
    <n v="1150"/>
    <x v="2"/>
    <n v="19550"/>
    <n v="0"/>
    <n v="0"/>
    <n v="19550"/>
    <d v="2024-06-30T00:00:00"/>
    <n v="680.18"/>
  </r>
  <r>
    <s v="CUST021"/>
    <x v="6"/>
    <x v="1"/>
    <x v="0"/>
    <x v="60"/>
    <n v="60"/>
    <x v="4"/>
    <n v="480"/>
    <n v="0.1"/>
    <n v="48"/>
    <n v="432"/>
    <d v="2024-07-05T00:00:00"/>
    <n v="497.99"/>
  </r>
  <r>
    <s v="CUST010"/>
    <x v="18"/>
    <x v="4"/>
    <x v="4"/>
    <x v="61"/>
    <n v="10000"/>
    <x v="13"/>
    <n v="90000"/>
    <n v="0"/>
    <n v="0"/>
    <n v="90000"/>
    <d v="2024-07-06T00:00:00"/>
    <n v="220.05"/>
  </r>
  <r>
    <s v="CUST026"/>
    <x v="6"/>
    <x v="1"/>
    <x v="3"/>
    <x v="62"/>
    <n v="40000"/>
    <x v="2"/>
    <n v="680000"/>
    <n v="0.1"/>
    <n v="68000"/>
    <n v="612000"/>
    <d v="2024-07-08T00:00:00"/>
    <n v="294.12"/>
  </r>
  <r>
    <s v="CUST003"/>
    <x v="0"/>
    <x v="0"/>
    <x v="2"/>
    <x v="63"/>
    <n v="12000"/>
    <x v="2"/>
    <n v="204000"/>
    <n v="0.2"/>
    <n v="40800"/>
    <n v="163200"/>
    <d v="2024-07-08T00:00:00"/>
    <n v="201.11"/>
  </r>
  <r>
    <s v="CUST029"/>
    <x v="21"/>
    <x v="2"/>
    <x v="2"/>
    <x v="64"/>
    <n v="12000"/>
    <x v="16"/>
    <n v="60000"/>
    <n v="0.05"/>
    <n v="3000"/>
    <n v="57000"/>
    <d v="2024-07-09T00:00:00"/>
    <n v="261.27"/>
  </r>
  <r>
    <s v="CUST003"/>
    <x v="3"/>
    <x v="3"/>
    <x v="3"/>
    <x v="65"/>
    <n v="40000"/>
    <x v="10"/>
    <n v="600000"/>
    <n v="0.15"/>
    <n v="90000"/>
    <n v="510000"/>
    <d v="2024-07-14T00:00:00"/>
    <n v="307.82"/>
  </r>
  <r>
    <s v="CUST002"/>
    <x v="6"/>
    <x v="2"/>
    <x v="0"/>
    <x v="66"/>
    <n v="60"/>
    <x v="3"/>
    <n v="720"/>
    <n v="0.05"/>
    <n v="36"/>
    <n v="684"/>
    <d v="2024-07-15T00:00:00"/>
    <n v="333.05"/>
  </r>
  <r>
    <s v="CUST020"/>
    <x v="18"/>
    <x v="0"/>
    <x v="3"/>
    <x v="67"/>
    <n v="40000"/>
    <x v="16"/>
    <n v="200000"/>
    <n v="0.05"/>
    <n v="10000"/>
    <n v="190000"/>
    <d v="2024-07-15T00:00:00"/>
    <n v="455.97"/>
  </r>
  <r>
    <s v="CUST021"/>
    <x v="13"/>
    <x v="3"/>
    <x v="2"/>
    <x v="68"/>
    <n v="12000"/>
    <x v="6"/>
    <n v="132000"/>
    <n v="0.05"/>
    <n v="6600"/>
    <n v="125400"/>
    <d v="2024-07-21T00:00:00"/>
    <n v="242.31"/>
  </r>
  <r>
    <s v="CUST008"/>
    <x v="0"/>
    <x v="4"/>
    <x v="4"/>
    <x v="69"/>
    <n v="10000"/>
    <x v="17"/>
    <n v="10000"/>
    <n v="0.05"/>
    <n v="500"/>
    <n v="9500"/>
    <d v="2024-07-29T00:00:00"/>
    <n v="344.06"/>
  </r>
  <r>
    <s v="CUST030"/>
    <x v="18"/>
    <x v="4"/>
    <x v="2"/>
    <x v="70"/>
    <n v="12000"/>
    <x v="17"/>
    <n v="12000"/>
    <n v="0.05"/>
    <n v="600"/>
    <n v="11400"/>
    <d v="2024-07-30T00:00:00"/>
    <n v="144.56"/>
  </r>
  <r>
    <s v="CUST020"/>
    <x v="25"/>
    <x v="2"/>
    <x v="4"/>
    <x v="71"/>
    <n v="10000"/>
    <x v="15"/>
    <n v="190000"/>
    <n v="0"/>
    <n v="0"/>
    <n v="190000"/>
    <d v="2024-07-31T00:00:00"/>
    <n v="441.54"/>
  </r>
  <r>
    <s v="CUST024"/>
    <x v="18"/>
    <x v="1"/>
    <x v="2"/>
    <x v="72"/>
    <n v="12000"/>
    <x v="11"/>
    <n v="120000"/>
    <n v="0.15"/>
    <n v="18000"/>
    <n v="102000"/>
    <d v="2024-08-05T00:00:00"/>
    <n v="114.7"/>
  </r>
  <r>
    <s v="CUST012"/>
    <x v="26"/>
    <x v="2"/>
    <x v="0"/>
    <x v="73"/>
    <n v="60"/>
    <x v="16"/>
    <n v="300"/>
    <n v="0.2"/>
    <n v="60"/>
    <n v="240"/>
    <d v="2024-08-05T00:00:00"/>
    <n v="257.42"/>
  </r>
  <r>
    <s v="CUST024"/>
    <x v="9"/>
    <x v="0"/>
    <x v="2"/>
    <x v="74"/>
    <n v="12000"/>
    <x v="12"/>
    <n v="156000"/>
    <n v="0.2"/>
    <n v="31200"/>
    <n v="124800"/>
    <d v="2024-08-08T00:00:00"/>
    <n v="305.32"/>
  </r>
  <r>
    <s v="CUST012"/>
    <x v="5"/>
    <x v="0"/>
    <x v="2"/>
    <x v="75"/>
    <n v="12000"/>
    <x v="16"/>
    <n v="60000"/>
    <n v="0.15"/>
    <n v="9000"/>
    <n v="51000"/>
    <d v="2024-08-09T00:00:00"/>
    <n v="258.24"/>
  </r>
  <r>
    <s v="CUST005"/>
    <x v="17"/>
    <x v="4"/>
    <x v="3"/>
    <x v="76"/>
    <n v="40000"/>
    <x v="1"/>
    <n v="120000"/>
    <n v="0"/>
    <n v="0"/>
    <n v="120000"/>
    <d v="2024-08-15T00:00:00"/>
    <n v="441.47"/>
  </r>
  <r>
    <s v="CUST004"/>
    <x v="12"/>
    <x v="3"/>
    <x v="3"/>
    <x v="77"/>
    <n v="40000"/>
    <x v="9"/>
    <n v="280000"/>
    <n v="0.05"/>
    <n v="14000"/>
    <n v="266000"/>
    <d v="2024-08-18T00:00:00"/>
    <n v="172.26"/>
  </r>
  <r>
    <s v="CUST026"/>
    <x v="5"/>
    <x v="0"/>
    <x v="4"/>
    <x v="78"/>
    <n v="10000"/>
    <x v="17"/>
    <n v="10000"/>
    <n v="0"/>
    <n v="0"/>
    <n v="10000"/>
    <d v="2024-08-19T00:00:00"/>
    <n v="500.1"/>
  </r>
  <r>
    <s v="CUST030"/>
    <x v="6"/>
    <x v="1"/>
    <x v="1"/>
    <x v="79"/>
    <n v="1150"/>
    <x v="14"/>
    <n v="20700"/>
    <n v="0.1"/>
    <n v="2070"/>
    <n v="18630"/>
    <d v="2024-08-22T00:00:00"/>
    <n v="581.16"/>
  </r>
  <r>
    <s v="CUST007"/>
    <x v="18"/>
    <x v="3"/>
    <x v="0"/>
    <x v="80"/>
    <n v="60"/>
    <x v="15"/>
    <n v="1140"/>
    <n v="0"/>
    <n v="0"/>
    <n v="1140"/>
    <d v="2024-08-30T00:00:00"/>
    <n v="271.88"/>
  </r>
  <r>
    <s v="CUST020"/>
    <x v="7"/>
    <x v="1"/>
    <x v="3"/>
    <x v="81"/>
    <n v="40000"/>
    <x v="2"/>
    <n v="680000"/>
    <n v="0"/>
    <n v="0"/>
    <n v="680000"/>
    <d v="2024-08-30T00:00:00"/>
    <n v="400.29"/>
  </r>
  <r>
    <s v="CUST028"/>
    <x v="15"/>
    <x v="4"/>
    <x v="2"/>
    <x v="82"/>
    <n v="12000"/>
    <x v="9"/>
    <n v="84000"/>
    <n v="0.1"/>
    <n v="8400"/>
    <n v="75600"/>
    <d v="2024-09-01T00:00:00"/>
    <n v="177.77"/>
  </r>
  <r>
    <s v="CUST005"/>
    <x v="14"/>
    <x v="4"/>
    <x v="0"/>
    <x v="83"/>
    <n v="60"/>
    <x v="9"/>
    <n v="420"/>
    <n v="0.05"/>
    <n v="21"/>
    <n v="399"/>
    <d v="2024-09-01T00:00:00"/>
    <n v="406.86"/>
  </r>
  <r>
    <s v="CUST015"/>
    <x v="8"/>
    <x v="0"/>
    <x v="1"/>
    <x v="84"/>
    <n v="1150"/>
    <x v="0"/>
    <n v="4600"/>
    <n v="0.1"/>
    <n v="460"/>
    <n v="4140"/>
    <d v="2024-09-09T00:00:00"/>
    <n v="526"/>
  </r>
  <r>
    <s v="CUST003"/>
    <x v="0"/>
    <x v="2"/>
    <x v="2"/>
    <x v="85"/>
    <n v="12000"/>
    <x v="2"/>
    <n v="204000"/>
    <n v="0"/>
    <n v="0"/>
    <n v="204000"/>
    <d v="2024-09-09T00:00:00"/>
    <n v="333.97"/>
  </r>
  <r>
    <s v="CUST023"/>
    <x v="18"/>
    <x v="1"/>
    <x v="3"/>
    <x v="86"/>
    <n v="40000"/>
    <x v="13"/>
    <n v="360000"/>
    <n v="0"/>
    <n v="0"/>
    <n v="360000"/>
    <d v="2024-09-11T00:00:00"/>
    <n v="305.8"/>
  </r>
  <r>
    <s v="CUST004"/>
    <x v="23"/>
    <x v="0"/>
    <x v="4"/>
    <x v="87"/>
    <n v="10000"/>
    <x v="15"/>
    <n v="190000"/>
    <n v="0"/>
    <n v="0"/>
    <n v="190000"/>
    <d v="2024-09-12T00:00:00"/>
    <n v="649.79"/>
  </r>
  <r>
    <s v="CUST023"/>
    <x v="3"/>
    <x v="1"/>
    <x v="4"/>
    <x v="88"/>
    <n v="10000"/>
    <x v="6"/>
    <n v="110000"/>
    <n v="0.15"/>
    <n v="16500"/>
    <n v="93500"/>
    <d v="2024-09-14T00:00:00"/>
    <n v="441.53"/>
  </r>
  <r>
    <s v="CUST022"/>
    <x v="15"/>
    <x v="2"/>
    <x v="0"/>
    <x v="89"/>
    <n v="60"/>
    <x v="18"/>
    <n v="960"/>
    <n v="0.05"/>
    <n v="48"/>
    <n v="912"/>
    <d v="2024-09-14T00:00:00"/>
    <n v="480.51"/>
  </r>
  <r>
    <s v="CUST007"/>
    <x v="24"/>
    <x v="0"/>
    <x v="3"/>
    <x v="90"/>
    <n v="40000"/>
    <x v="0"/>
    <n v="160000"/>
    <n v="0.1"/>
    <n v="16000"/>
    <n v="144000"/>
    <d v="2024-09-16T00:00:00"/>
    <n v="346.99"/>
  </r>
  <r>
    <s v="CUST013"/>
    <x v="1"/>
    <x v="2"/>
    <x v="3"/>
    <x v="91"/>
    <n v="40000"/>
    <x v="17"/>
    <n v="40000"/>
    <n v="0.1"/>
    <n v="4000"/>
    <n v="36000"/>
    <d v="2024-09-17T00:00:00"/>
    <n v="229.23"/>
  </r>
  <r>
    <s v="CUST027"/>
    <x v="9"/>
    <x v="1"/>
    <x v="4"/>
    <x v="92"/>
    <n v="10000"/>
    <x v="12"/>
    <n v="130000"/>
    <n v="0.15"/>
    <n v="19500"/>
    <n v="110500"/>
    <d v="2024-09-17T00:00:00"/>
    <n v="334.84"/>
  </r>
  <r>
    <s v="CUST003"/>
    <x v="3"/>
    <x v="0"/>
    <x v="2"/>
    <x v="93"/>
    <n v="12000"/>
    <x v="15"/>
    <n v="228000"/>
    <n v="0.2"/>
    <n v="45600"/>
    <n v="182400"/>
    <d v="2024-09-18T00:00:00"/>
    <n v="231.79"/>
  </r>
  <r>
    <s v="CUST018"/>
    <x v="13"/>
    <x v="2"/>
    <x v="0"/>
    <x v="94"/>
    <n v="60"/>
    <x v="7"/>
    <n v="120"/>
    <n v="0.15"/>
    <n v="18"/>
    <n v="102"/>
    <d v="2024-09-22T00:00:00"/>
    <n v="328.54"/>
  </r>
  <r>
    <s v="CUST020"/>
    <x v="2"/>
    <x v="2"/>
    <x v="0"/>
    <x v="95"/>
    <n v="60"/>
    <x v="5"/>
    <n v="360"/>
    <n v="0"/>
    <n v="0"/>
    <n v="360"/>
    <d v="2024-09-23T00:00:00"/>
    <n v="366.99"/>
  </r>
  <r>
    <s v="CUST029"/>
    <x v="21"/>
    <x v="0"/>
    <x v="3"/>
    <x v="96"/>
    <n v="40000"/>
    <x v="9"/>
    <n v="280000"/>
    <n v="0.15"/>
    <n v="42000"/>
    <n v="238000"/>
    <d v="2024-09-24T00:00:00"/>
    <n v="348.96"/>
  </r>
  <r>
    <s v="CUST021"/>
    <x v="3"/>
    <x v="3"/>
    <x v="1"/>
    <x v="97"/>
    <n v="1150"/>
    <x v="6"/>
    <n v="12650"/>
    <n v="0.1"/>
    <n v="1265"/>
    <n v="11385"/>
    <d v="2024-09-24T00:00:00"/>
    <n v="542.62"/>
  </r>
  <r>
    <s v="CUST017"/>
    <x v="23"/>
    <x v="0"/>
    <x v="4"/>
    <x v="98"/>
    <n v="10000"/>
    <x v="11"/>
    <n v="100000"/>
    <n v="0.2"/>
    <n v="20000"/>
    <n v="80000"/>
    <d v="2024-09-29T00:00:00"/>
    <n v="297.69"/>
  </r>
  <r>
    <s v="CUST003"/>
    <x v="3"/>
    <x v="4"/>
    <x v="1"/>
    <x v="99"/>
    <n v="1150"/>
    <x v="3"/>
    <n v="13800"/>
    <n v="0"/>
    <n v="0"/>
    <n v="13800"/>
    <d v="2024-09-29T00:00:00"/>
    <n v="451.1"/>
  </r>
  <r>
    <s v="CUST027"/>
    <x v="9"/>
    <x v="3"/>
    <x v="0"/>
    <x v="100"/>
    <n v="60"/>
    <x v="2"/>
    <n v="1020"/>
    <n v="0.1"/>
    <n v="102"/>
    <n v="918"/>
    <d v="2024-09-30T00:00:00"/>
    <n v="210.95"/>
  </r>
  <r>
    <s v="CUST016"/>
    <x v="4"/>
    <x v="3"/>
    <x v="1"/>
    <x v="101"/>
    <n v="1150"/>
    <x v="4"/>
    <n v="9200"/>
    <n v="0.1"/>
    <n v="920"/>
    <n v="8280"/>
    <d v="2024-09-30T00:00:00"/>
    <n v="445.59"/>
  </r>
  <r>
    <s v="CUST008"/>
    <x v="19"/>
    <x v="4"/>
    <x v="2"/>
    <x v="102"/>
    <n v="12000"/>
    <x v="12"/>
    <n v="156000"/>
    <n v="0.2"/>
    <n v="31200"/>
    <n v="124800"/>
    <d v="2024-10-02T00:00:00"/>
    <n v="202.82"/>
  </r>
  <r>
    <s v="CUST012"/>
    <x v="14"/>
    <x v="3"/>
    <x v="2"/>
    <x v="103"/>
    <n v="12000"/>
    <x v="2"/>
    <n v="204000"/>
    <n v="0"/>
    <n v="0"/>
    <n v="204000"/>
    <d v="2024-10-05T00:00:00"/>
    <n v="231.32"/>
  </r>
  <r>
    <s v="CUST025"/>
    <x v="13"/>
    <x v="1"/>
    <x v="3"/>
    <x v="104"/>
    <n v="40000"/>
    <x v="4"/>
    <n v="320000"/>
    <n v="0"/>
    <n v="0"/>
    <n v="320000"/>
    <d v="2024-10-10T00:00:00"/>
    <n v="450.29"/>
  </r>
  <r>
    <s v="CUST014"/>
    <x v="23"/>
    <x v="2"/>
    <x v="0"/>
    <x v="105"/>
    <n v="60"/>
    <x v="4"/>
    <n v="480"/>
    <n v="0.2"/>
    <n v="96"/>
    <n v="384"/>
    <d v="2024-10-12T00:00:00"/>
    <n v="307.72000000000003"/>
  </r>
  <r>
    <s v="CUST008"/>
    <x v="3"/>
    <x v="1"/>
    <x v="0"/>
    <x v="106"/>
    <n v="60"/>
    <x v="15"/>
    <n v="1140"/>
    <n v="0.15"/>
    <n v="171"/>
    <n v="969"/>
    <d v="2024-10-12T00:00:00"/>
    <n v="367.59"/>
  </r>
  <r>
    <s v="CUST015"/>
    <x v="3"/>
    <x v="0"/>
    <x v="1"/>
    <x v="107"/>
    <n v="1150"/>
    <x v="13"/>
    <n v="10350"/>
    <n v="0.2"/>
    <n v="2070"/>
    <n v="8280"/>
    <d v="2024-10-15T00:00:00"/>
    <n v="769.46"/>
  </r>
  <r>
    <s v="CUST025"/>
    <x v="24"/>
    <x v="4"/>
    <x v="1"/>
    <x v="108"/>
    <n v="1150"/>
    <x v="8"/>
    <n v="16100"/>
    <n v="0.1"/>
    <n v="1610"/>
    <n v="14490"/>
    <d v="2024-10-16T00:00:00"/>
    <n v="327.92"/>
  </r>
  <r>
    <s v="CUST019"/>
    <x v="7"/>
    <x v="4"/>
    <x v="1"/>
    <x v="109"/>
    <n v="1150"/>
    <x v="9"/>
    <n v="8050"/>
    <n v="0.15"/>
    <n v="1207.5"/>
    <n v="6842.5"/>
    <d v="2024-10-16T00:00:00"/>
    <n v="553.29999999999995"/>
  </r>
  <r>
    <s v="CUST024"/>
    <x v="24"/>
    <x v="1"/>
    <x v="0"/>
    <x v="110"/>
    <n v="60"/>
    <x v="18"/>
    <n v="960"/>
    <n v="0.1"/>
    <n v="96"/>
    <n v="864"/>
    <d v="2024-10-17T00:00:00"/>
    <n v="352.86"/>
  </r>
  <r>
    <s v="CUST027"/>
    <x v="3"/>
    <x v="0"/>
    <x v="1"/>
    <x v="111"/>
    <n v="1150"/>
    <x v="2"/>
    <n v="19550"/>
    <n v="0.1"/>
    <n v="1955"/>
    <n v="17595"/>
    <d v="2024-10-19T00:00:00"/>
    <n v="313.91000000000003"/>
  </r>
  <r>
    <s v="CUST006"/>
    <x v="26"/>
    <x v="0"/>
    <x v="3"/>
    <x v="112"/>
    <n v="40000"/>
    <x v="17"/>
    <n v="40000"/>
    <n v="0.15"/>
    <n v="6000"/>
    <n v="34000"/>
    <d v="2024-10-19T00:00:00"/>
    <n v="355.1"/>
  </r>
  <r>
    <s v="CUST009"/>
    <x v="9"/>
    <x v="2"/>
    <x v="2"/>
    <x v="113"/>
    <n v="12000"/>
    <x v="17"/>
    <n v="12000"/>
    <n v="0"/>
    <n v="0"/>
    <n v="12000"/>
    <d v="2024-10-20T00:00:00"/>
    <n v="192.76"/>
  </r>
  <r>
    <s v="CUST003"/>
    <x v="25"/>
    <x v="3"/>
    <x v="1"/>
    <x v="114"/>
    <n v="1150"/>
    <x v="17"/>
    <n v="1150"/>
    <n v="0.2"/>
    <n v="230"/>
    <n v="920"/>
    <d v="2024-10-28T00:00:00"/>
    <n v="264.44"/>
  </r>
  <r>
    <s v="CUST012"/>
    <x v="18"/>
    <x v="0"/>
    <x v="2"/>
    <x v="115"/>
    <n v="12000"/>
    <x v="10"/>
    <n v="180000"/>
    <n v="0"/>
    <n v="0"/>
    <n v="180000"/>
    <d v="2024-10-30T00:00:00"/>
    <n v="172.21"/>
  </r>
  <r>
    <s v="CUST013"/>
    <x v="5"/>
    <x v="4"/>
    <x v="0"/>
    <x v="116"/>
    <n v="60"/>
    <x v="0"/>
    <n v="240"/>
    <n v="0.05"/>
    <n v="12"/>
    <n v="228"/>
    <d v="2024-11-01T00:00:00"/>
    <n v="474.66"/>
  </r>
  <r>
    <s v="CUST008"/>
    <x v="3"/>
    <x v="1"/>
    <x v="4"/>
    <x v="117"/>
    <n v="10000"/>
    <x v="8"/>
    <n v="140000"/>
    <n v="0.05"/>
    <n v="7000"/>
    <n v="133000"/>
    <d v="2024-11-03T00:00:00"/>
    <n v="433.58"/>
  </r>
  <r>
    <s v="CUST025"/>
    <x v="14"/>
    <x v="1"/>
    <x v="0"/>
    <x v="118"/>
    <n v="60"/>
    <x v="7"/>
    <n v="120"/>
    <n v="0.15"/>
    <n v="18"/>
    <n v="102"/>
    <d v="2024-11-09T00:00:00"/>
    <n v="343.6"/>
  </r>
  <r>
    <s v="CUST026"/>
    <x v="20"/>
    <x v="3"/>
    <x v="3"/>
    <x v="119"/>
    <n v="40000"/>
    <x v="0"/>
    <n v="160000"/>
    <n v="0.05"/>
    <n v="8000"/>
    <n v="152000"/>
    <d v="2024-11-09T00:00:00"/>
    <n v="318.3"/>
  </r>
  <r>
    <s v="CUST001"/>
    <x v="12"/>
    <x v="3"/>
    <x v="3"/>
    <x v="120"/>
    <n v="40000"/>
    <x v="1"/>
    <n v="120000"/>
    <n v="0.05"/>
    <n v="6000"/>
    <n v="114000"/>
    <d v="2024-11-12T00:00:00"/>
    <n v="358.41"/>
  </r>
  <r>
    <s v="CUST028"/>
    <x v="15"/>
    <x v="2"/>
    <x v="1"/>
    <x v="121"/>
    <n v="1150"/>
    <x v="16"/>
    <n v="5750"/>
    <n v="0"/>
    <n v="0"/>
    <n v="5750"/>
    <d v="2024-11-15T00:00:00"/>
    <n v="581.5"/>
  </r>
  <r>
    <s v="CUST025"/>
    <x v="12"/>
    <x v="1"/>
    <x v="4"/>
    <x v="122"/>
    <n v="10000"/>
    <x v="11"/>
    <n v="100000"/>
    <n v="0.1"/>
    <n v="10000"/>
    <n v="90000"/>
    <d v="2024-11-16T00:00:00"/>
    <n v="410.9"/>
  </r>
  <r>
    <s v="CUST019"/>
    <x v="2"/>
    <x v="2"/>
    <x v="2"/>
    <x v="123"/>
    <n v="12000"/>
    <x v="8"/>
    <n v="168000"/>
    <n v="0"/>
    <n v="0"/>
    <n v="168000"/>
    <d v="2024-11-17T00:00:00"/>
    <n v="179.51"/>
  </r>
  <r>
    <s v="CUST004"/>
    <x v="2"/>
    <x v="4"/>
    <x v="1"/>
    <x v="124"/>
    <n v="1150"/>
    <x v="14"/>
    <n v="20700"/>
    <n v="0.2"/>
    <n v="4140"/>
    <n v="16560"/>
    <d v="2024-11-17T00:00:00"/>
    <n v="511.14"/>
  </r>
  <r>
    <s v="CUST024"/>
    <x v="3"/>
    <x v="3"/>
    <x v="2"/>
    <x v="125"/>
    <n v="12000"/>
    <x v="17"/>
    <n v="12000"/>
    <n v="0.15"/>
    <n v="1800"/>
    <n v="10200"/>
    <d v="2024-11-17T00:00:00"/>
    <n v="150.18"/>
  </r>
  <r>
    <s v="CUST002"/>
    <x v="15"/>
    <x v="1"/>
    <x v="2"/>
    <x v="126"/>
    <n v="12000"/>
    <x v="10"/>
    <n v="180000"/>
    <n v="0"/>
    <n v="0"/>
    <n v="180000"/>
    <d v="2024-11-19T00:00:00"/>
    <n v="352.65"/>
  </r>
  <r>
    <s v="CUST009"/>
    <x v="21"/>
    <x v="2"/>
    <x v="3"/>
    <x v="127"/>
    <n v="40000"/>
    <x v="11"/>
    <n v="400000"/>
    <n v="0"/>
    <n v="0"/>
    <n v="400000"/>
    <d v="2024-11-19T00:00:00"/>
    <n v="472.62"/>
  </r>
  <r>
    <s v="CUST029"/>
    <x v="12"/>
    <x v="1"/>
    <x v="2"/>
    <x v="128"/>
    <n v="12000"/>
    <x v="0"/>
    <n v="48000"/>
    <n v="0.15"/>
    <n v="7200"/>
    <n v="40800"/>
    <d v="2024-11-19T00:00:00"/>
    <n v="195.33"/>
  </r>
  <r>
    <s v="CUST027"/>
    <x v="3"/>
    <x v="0"/>
    <x v="2"/>
    <x v="129"/>
    <n v="12000"/>
    <x v="15"/>
    <n v="228000"/>
    <n v="0"/>
    <n v="0"/>
    <n v="228000"/>
    <d v="2024-11-20T00:00:00"/>
    <n v="64.63"/>
  </r>
  <r>
    <s v="CUST011"/>
    <x v="21"/>
    <x v="1"/>
    <x v="0"/>
    <x v="130"/>
    <n v="60"/>
    <x v="16"/>
    <n v="300"/>
    <n v="0.05"/>
    <n v="15"/>
    <n v="285"/>
    <d v="2024-11-20T00:00:00"/>
    <n v="461.12"/>
  </r>
  <r>
    <s v="CUST021"/>
    <x v="9"/>
    <x v="4"/>
    <x v="0"/>
    <x v="131"/>
    <n v="60"/>
    <x v="4"/>
    <n v="480"/>
    <n v="0.05"/>
    <n v="24"/>
    <n v="456"/>
    <d v="2024-11-26T00:00:00"/>
    <n v="437.11"/>
  </r>
  <r>
    <s v="CUST014"/>
    <x v="26"/>
    <x v="2"/>
    <x v="3"/>
    <x v="132"/>
    <n v="40000"/>
    <x v="4"/>
    <n v="320000"/>
    <n v="0.1"/>
    <n v="32000"/>
    <n v="288000"/>
    <d v="2024-11-26T00:00:00"/>
    <n v="268.97000000000003"/>
  </r>
  <r>
    <s v="CUST018"/>
    <x v="12"/>
    <x v="2"/>
    <x v="2"/>
    <x v="133"/>
    <n v="12000"/>
    <x v="17"/>
    <n v="12000"/>
    <n v="0"/>
    <n v="0"/>
    <n v="12000"/>
    <d v="2024-11-28T00:00:00"/>
    <n v="265.26"/>
  </r>
  <r>
    <s v="CUST001"/>
    <x v="11"/>
    <x v="0"/>
    <x v="2"/>
    <x v="134"/>
    <n v="12000"/>
    <x v="15"/>
    <n v="228000"/>
    <n v="0.2"/>
    <n v="45600"/>
    <n v="182400"/>
    <d v="2024-11-29T00:00:00"/>
    <n v="178.91"/>
  </r>
  <r>
    <s v="CUST007"/>
    <x v="9"/>
    <x v="3"/>
    <x v="4"/>
    <x v="135"/>
    <n v="10000"/>
    <x v="1"/>
    <n v="30000"/>
    <n v="0.05"/>
    <n v="1500"/>
    <n v="28500"/>
    <d v="2024-11-30T00:00:00"/>
    <n v="356.5"/>
  </r>
  <r>
    <s v="CUST015"/>
    <x v="26"/>
    <x v="0"/>
    <x v="3"/>
    <x v="136"/>
    <n v="40000"/>
    <x v="0"/>
    <n v="160000"/>
    <n v="0.2"/>
    <n v="32000"/>
    <n v="128000"/>
    <d v="2024-12-04T00:00:00"/>
    <n v="229.65"/>
  </r>
  <r>
    <s v="CUST015"/>
    <x v="9"/>
    <x v="4"/>
    <x v="2"/>
    <x v="137"/>
    <n v="12000"/>
    <x v="4"/>
    <n v="96000"/>
    <n v="0.05"/>
    <n v="4800"/>
    <n v="91200"/>
    <d v="2024-12-05T00:00:00"/>
    <n v="121.54"/>
  </r>
  <r>
    <s v="CUST002"/>
    <x v="21"/>
    <x v="2"/>
    <x v="3"/>
    <x v="138"/>
    <n v="40000"/>
    <x v="15"/>
    <n v="760000"/>
    <n v="0.05"/>
    <n v="38000"/>
    <n v="722000"/>
    <d v="2024-12-12T00:00:00"/>
    <n v="268"/>
  </r>
  <r>
    <s v="CUST001"/>
    <x v="4"/>
    <x v="4"/>
    <x v="3"/>
    <x v="139"/>
    <n v="40000"/>
    <x v="18"/>
    <n v="640000"/>
    <n v="0.15"/>
    <n v="96000"/>
    <n v="544000"/>
    <d v="2024-12-14T00:00:00"/>
    <n v="426.16"/>
  </r>
  <r>
    <s v="CUST027"/>
    <x v="5"/>
    <x v="4"/>
    <x v="2"/>
    <x v="140"/>
    <n v="12000"/>
    <x v="11"/>
    <n v="120000"/>
    <n v="0.15"/>
    <n v="18000"/>
    <n v="102000"/>
    <d v="2024-12-14T00:00:00"/>
    <n v="316.32"/>
  </r>
  <r>
    <s v="CUST026"/>
    <x v="24"/>
    <x v="1"/>
    <x v="0"/>
    <x v="141"/>
    <n v="60"/>
    <x v="13"/>
    <n v="540"/>
    <n v="0"/>
    <n v="0"/>
    <n v="540"/>
    <d v="2024-12-20T00:00:00"/>
    <n v="492.5"/>
  </r>
  <r>
    <s v="CUST026"/>
    <x v="11"/>
    <x v="0"/>
    <x v="2"/>
    <x v="142"/>
    <n v="12000"/>
    <x v="15"/>
    <n v="228000"/>
    <n v="0.2"/>
    <n v="45600"/>
    <n v="182400"/>
    <d v="2024-12-21T00:00:00"/>
    <n v="232.33"/>
  </r>
  <r>
    <s v="CUST022"/>
    <x v="12"/>
    <x v="4"/>
    <x v="4"/>
    <x v="143"/>
    <n v="10000"/>
    <x v="18"/>
    <n v="160000"/>
    <n v="0.05"/>
    <n v="8000"/>
    <n v="152000"/>
    <d v="2024-12-24T00:00:00"/>
    <n v="165.97"/>
  </r>
  <r>
    <s v="CUST004"/>
    <x v="6"/>
    <x v="3"/>
    <x v="1"/>
    <x v="144"/>
    <n v="1150"/>
    <x v="5"/>
    <n v="6900"/>
    <n v="0.15"/>
    <n v="1035"/>
    <n v="5865"/>
    <d v="2024-12-25T00:00:00"/>
    <n v="675.5"/>
  </r>
  <r>
    <s v="CUST001"/>
    <x v="26"/>
    <x v="3"/>
    <x v="1"/>
    <x v="145"/>
    <n v="1150"/>
    <x v="12"/>
    <n v="14950"/>
    <n v="0.2"/>
    <n v="2990"/>
    <n v="11960"/>
    <d v="2024-12-25T00:00:00"/>
    <n v="134.66"/>
  </r>
  <r>
    <s v="CUST022"/>
    <x v="3"/>
    <x v="0"/>
    <x v="0"/>
    <x v="146"/>
    <n v="60"/>
    <x v="8"/>
    <n v="840"/>
    <n v="0.1"/>
    <n v="84"/>
    <n v="756"/>
    <d v="2024-12-30T00:00:00"/>
    <n v="487.36"/>
  </r>
  <r>
    <s v="CUST011"/>
    <x v="25"/>
    <x v="4"/>
    <x v="1"/>
    <x v="147"/>
    <n v="1150"/>
    <x v="6"/>
    <n v="12650"/>
    <n v="0.05"/>
    <n v="632.5"/>
    <n v="12017.5"/>
    <d v="2025-01-01T00:00:00"/>
    <n v="314.74"/>
  </r>
  <r>
    <s v="CUST028"/>
    <x v="14"/>
    <x v="3"/>
    <x v="4"/>
    <x v="148"/>
    <n v="10000"/>
    <x v="17"/>
    <n v="10000"/>
    <n v="0.2"/>
    <n v="2000"/>
    <n v="8000"/>
    <d v="2025-01-01T00:00:00"/>
    <n v="111.39"/>
  </r>
  <r>
    <s v="CUST011"/>
    <x v="5"/>
    <x v="3"/>
    <x v="0"/>
    <x v="149"/>
    <n v="60"/>
    <x v="14"/>
    <n v="1080"/>
    <n v="0.1"/>
    <n v="108"/>
    <n v="972"/>
    <d v="2025-01-02T00:00:00"/>
    <n v="318.47000000000003"/>
  </r>
  <r>
    <s v="CUST028"/>
    <x v="3"/>
    <x v="4"/>
    <x v="4"/>
    <x v="150"/>
    <n v="10000"/>
    <x v="11"/>
    <n v="100000"/>
    <n v="0.1"/>
    <n v="10000"/>
    <n v="90000"/>
    <d v="2025-01-03T00:00:00"/>
    <n v="301.75"/>
  </r>
  <r>
    <s v="CUST016"/>
    <x v="2"/>
    <x v="2"/>
    <x v="1"/>
    <x v="151"/>
    <n v="1150"/>
    <x v="16"/>
    <n v="5750"/>
    <n v="0.05"/>
    <n v="287.5"/>
    <n v="5462.5"/>
    <d v="2025-01-03T00:00:00"/>
    <n v="413.36"/>
  </r>
  <r>
    <s v="CUST010"/>
    <x v="5"/>
    <x v="0"/>
    <x v="3"/>
    <x v="152"/>
    <n v="40000"/>
    <x v="14"/>
    <n v="720000"/>
    <n v="0.05"/>
    <n v="36000"/>
    <n v="684000"/>
    <d v="2025-01-06T00:00:00"/>
    <n v="286.68"/>
  </r>
  <r>
    <s v="CUST013"/>
    <x v="20"/>
    <x v="3"/>
    <x v="1"/>
    <x v="153"/>
    <n v="1150"/>
    <x v="15"/>
    <n v="21850"/>
    <n v="0.05"/>
    <n v="1092.5"/>
    <n v="20757.5"/>
    <d v="2025-01-10T00:00:00"/>
    <n v="556.30999999999995"/>
  </r>
  <r>
    <s v="CUST015"/>
    <x v="1"/>
    <x v="2"/>
    <x v="3"/>
    <x v="154"/>
    <n v="40000"/>
    <x v="6"/>
    <n v="440000"/>
    <n v="0.1"/>
    <n v="44000"/>
    <n v="396000"/>
    <d v="2025-01-12T00:00:00"/>
    <n v="332.19"/>
  </r>
  <r>
    <s v="CUST015"/>
    <x v="3"/>
    <x v="3"/>
    <x v="2"/>
    <x v="155"/>
    <n v="12000"/>
    <x v="16"/>
    <n v="60000"/>
    <n v="0.2"/>
    <n v="12000"/>
    <n v="48000"/>
    <d v="2025-01-13T00:00:00"/>
    <n v="336.24"/>
  </r>
  <r>
    <s v="CUST015"/>
    <x v="8"/>
    <x v="0"/>
    <x v="1"/>
    <x v="156"/>
    <n v="1150"/>
    <x v="13"/>
    <n v="10350"/>
    <n v="0.05"/>
    <n v="517.5"/>
    <n v="9832.5"/>
    <d v="2025-01-16T00:00:00"/>
    <n v="180.39"/>
  </r>
  <r>
    <s v="CUST008"/>
    <x v="12"/>
    <x v="4"/>
    <x v="1"/>
    <x v="157"/>
    <n v="1150"/>
    <x v="7"/>
    <n v="2300"/>
    <n v="0.1"/>
    <n v="230"/>
    <n v="2070"/>
    <d v="2025-01-17T00:00:00"/>
    <n v="484.35"/>
  </r>
  <r>
    <s v="CUST008"/>
    <x v="6"/>
    <x v="4"/>
    <x v="4"/>
    <x v="158"/>
    <n v="10000"/>
    <x v="9"/>
    <n v="70000"/>
    <n v="0"/>
    <n v="0"/>
    <n v="70000"/>
    <d v="2025-01-17T00:00:00"/>
    <n v="562.82000000000005"/>
  </r>
  <r>
    <s v="CUST023"/>
    <x v="2"/>
    <x v="2"/>
    <x v="1"/>
    <x v="159"/>
    <n v="1150"/>
    <x v="5"/>
    <n v="6900"/>
    <n v="0.2"/>
    <n v="1380"/>
    <n v="5520"/>
    <d v="2025-01-17T00:00:00"/>
    <n v="447.34"/>
  </r>
  <r>
    <s v="CUST024"/>
    <x v="17"/>
    <x v="3"/>
    <x v="1"/>
    <x v="160"/>
    <n v="1150"/>
    <x v="3"/>
    <n v="13800"/>
    <n v="0.2"/>
    <n v="2760"/>
    <n v="11040"/>
    <d v="2025-01-20T00:00:00"/>
    <n v="649.04999999999995"/>
  </r>
  <r>
    <s v="CUST018"/>
    <x v="14"/>
    <x v="3"/>
    <x v="0"/>
    <x v="161"/>
    <n v="60"/>
    <x v="6"/>
    <n v="660"/>
    <n v="0.2"/>
    <n v="132"/>
    <n v="528"/>
    <d v="2025-01-21T00:00:00"/>
    <n v="205"/>
  </r>
  <r>
    <s v="CUST030"/>
    <x v="11"/>
    <x v="0"/>
    <x v="1"/>
    <x v="162"/>
    <n v="1150"/>
    <x v="2"/>
    <n v="19550"/>
    <n v="0.1"/>
    <n v="1955"/>
    <n v="17595"/>
    <d v="2025-01-27T00:00:00"/>
    <n v="263.32"/>
  </r>
  <r>
    <s v="CUST030"/>
    <x v="6"/>
    <x v="1"/>
    <x v="1"/>
    <x v="163"/>
    <n v="1150"/>
    <x v="16"/>
    <n v="5750"/>
    <n v="0.2"/>
    <n v="1150"/>
    <n v="4600"/>
    <d v="2025-02-02T00:00:00"/>
    <n v="443.99"/>
  </r>
  <r>
    <s v="CUST015"/>
    <x v="12"/>
    <x v="1"/>
    <x v="0"/>
    <x v="164"/>
    <n v="60"/>
    <x v="13"/>
    <n v="540"/>
    <n v="0.1"/>
    <n v="54"/>
    <n v="486"/>
    <d v="2025-02-04T00:00:00"/>
    <n v="395.31"/>
  </r>
  <r>
    <s v="CUST002"/>
    <x v="14"/>
    <x v="0"/>
    <x v="4"/>
    <x v="165"/>
    <n v="10000"/>
    <x v="9"/>
    <n v="70000"/>
    <n v="0.1"/>
    <n v="7000"/>
    <n v="63000"/>
    <d v="2025-02-05T00:00:00"/>
    <n v="335.04"/>
  </r>
  <r>
    <s v="CUST024"/>
    <x v="5"/>
    <x v="4"/>
    <x v="1"/>
    <x v="166"/>
    <n v="1150"/>
    <x v="18"/>
    <n v="18400"/>
    <n v="0.1"/>
    <n v="1840"/>
    <n v="16560"/>
    <d v="2025-02-07T00:00:00"/>
    <n v="333.85"/>
  </r>
  <r>
    <s v="CUST004"/>
    <x v="0"/>
    <x v="1"/>
    <x v="4"/>
    <x v="167"/>
    <n v="10000"/>
    <x v="5"/>
    <n v="60000"/>
    <n v="0.1"/>
    <n v="6000"/>
    <n v="54000"/>
    <d v="2025-02-10T00:00:00"/>
    <n v="531.05999999999995"/>
  </r>
  <r>
    <s v="CUST004"/>
    <x v="6"/>
    <x v="2"/>
    <x v="4"/>
    <x v="168"/>
    <n v="10000"/>
    <x v="15"/>
    <n v="190000"/>
    <n v="0.1"/>
    <n v="19000"/>
    <n v="171000"/>
    <d v="2025-02-15T00:00:00"/>
    <n v="232.19"/>
  </r>
  <r>
    <s v="CUST028"/>
    <x v="3"/>
    <x v="0"/>
    <x v="2"/>
    <x v="169"/>
    <n v="12000"/>
    <x v="8"/>
    <n v="168000"/>
    <n v="0.2"/>
    <n v="33600"/>
    <n v="134400"/>
    <d v="2025-02-17T00:00:00"/>
    <n v="223.04"/>
  </r>
  <r>
    <s v="CUST012"/>
    <x v="12"/>
    <x v="3"/>
    <x v="1"/>
    <x v="170"/>
    <n v="1150"/>
    <x v="0"/>
    <n v="4600"/>
    <n v="0"/>
    <n v="0"/>
    <n v="4600"/>
    <d v="2025-02-19T00:00:00"/>
    <n v="422.92"/>
  </r>
  <r>
    <s v="CUST026"/>
    <x v="18"/>
    <x v="0"/>
    <x v="2"/>
    <x v="171"/>
    <n v="12000"/>
    <x v="1"/>
    <n v="36000"/>
    <n v="0"/>
    <n v="0"/>
    <n v="36000"/>
    <d v="2025-02-20T00:00:00"/>
    <n v="257.45"/>
  </r>
  <r>
    <s v="CUST009"/>
    <x v="6"/>
    <x v="3"/>
    <x v="0"/>
    <x v="172"/>
    <n v="60"/>
    <x v="7"/>
    <n v="120"/>
    <n v="0.2"/>
    <n v="24"/>
    <n v="96"/>
    <d v="2025-02-21T00:00:00"/>
    <n v="380.75"/>
  </r>
  <r>
    <s v="CUST003"/>
    <x v="11"/>
    <x v="2"/>
    <x v="0"/>
    <x v="173"/>
    <n v="60"/>
    <x v="10"/>
    <n v="900"/>
    <n v="0.2"/>
    <n v="180"/>
    <n v="720"/>
    <d v="2025-02-24T00:00:00"/>
    <n v="225.37"/>
  </r>
  <r>
    <s v="CUST002"/>
    <x v="13"/>
    <x v="4"/>
    <x v="4"/>
    <x v="174"/>
    <n v="10000"/>
    <x v="3"/>
    <n v="120000"/>
    <n v="0.2"/>
    <n v="24000"/>
    <n v="96000"/>
    <d v="2025-02-24T00:00:00"/>
    <n v="582.55999999999995"/>
  </r>
  <r>
    <s v="CUST013"/>
    <x v="17"/>
    <x v="4"/>
    <x v="0"/>
    <x v="175"/>
    <n v="60"/>
    <x v="7"/>
    <n v="120"/>
    <n v="0.15"/>
    <n v="18"/>
    <n v="102"/>
    <d v="2025-02-25T00:00:00"/>
    <n v="344.91"/>
  </r>
  <r>
    <s v="CUST018"/>
    <x v="6"/>
    <x v="4"/>
    <x v="1"/>
    <x v="176"/>
    <n v="1150"/>
    <x v="14"/>
    <n v="20700"/>
    <n v="0.2"/>
    <n v="4140"/>
    <n v="16560"/>
    <d v="2025-02-27T00:00:00"/>
    <n v="330.79"/>
  </r>
  <r>
    <s v="CUST017"/>
    <x v="6"/>
    <x v="4"/>
    <x v="1"/>
    <x v="177"/>
    <n v="1150"/>
    <x v="4"/>
    <n v="9200"/>
    <n v="0.1"/>
    <n v="920"/>
    <n v="8280"/>
    <d v="2025-03-01T00:00:00"/>
    <n v="460"/>
  </r>
  <r>
    <s v="CUST004"/>
    <x v="5"/>
    <x v="1"/>
    <x v="0"/>
    <x v="178"/>
    <n v="60"/>
    <x v="5"/>
    <n v="360"/>
    <n v="0"/>
    <n v="0"/>
    <n v="360"/>
    <d v="2025-03-02T00:00:00"/>
    <n v="439.88"/>
  </r>
  <r>
    <s v="CUST028"/>
    <x v="23"/>
    <x v="3"/>
    <x v="0"/>
    <x v="179"/>
    <n v="60"/>
    <x v="4"/>
    <n v="480"/>
    <n v="0.1"/>
    <n v="48"/>
    <n v="432"/>
    <d v="2025-03-05T00:00:00"/>
    <n v="255.79"/>
  </r>
  <r>
    <s v="CUST028"/>
    <x v="20"/>
    <x v="3"/>
    <x v="0"/>
    <x v="180"/>
    <n v="60"/>
    <x v="10"/>
    <n v="900"/>
    <n v="0.2"/>
    <n v="180"/>
    <n v="720"/>
    <d v="2025-03-08T00:00:00"/>
    <n v="159.74"/>
  </r>
  <r>
    <s v="CUST014"/>
    <x v="9"/>
    <x v="2"/>
    <x v="0"/>
    <x v="181"/>
    <n v="60"/>
    <x v="14"/>
    <n v="1080"/>
    <n v="0.05"/>
    <n v="54"/>
    <n v="1026"/>
    <d v="2025-03-09T00:00:00"/>
    <n v="404.39"/>
  </r>
  <r>
    <s v="CUST003"/>
    <x v="9"/>
    <x v="1"/>
    <x v="4"/>
    <x v="182"/>
    <n v="10000"/>
    <x v="14"/>
    <n v="180000"/>
    <n v="0.05"/>
    <n v="9000"/>
    <n v="171000"/>
    <d v="2025-03-10T00:00:00"/>
    <n v="187.57"/>
  </r>
  <r>
    <s v="CUST029"/>
    <x v="18"/>
    <x v="0"/>
    <x v="1"/>
    <x v="183"/>
    <n v="1150"/>
    <x v="7"/>
    <n v="2300"/>
    <n v="0.05"/>
    <n v="115"/>
    <n v="2185"/>
    <d v="2025-03-11T00:00:00"/>
    <n v="410.87"/>
  </r>
  <r>
    <s v="CUST021"/>
    <x v="18"/>
    <x v="0"/>
    <x v="3"/>
    <x v="184"/>
    <n v="40000"/>
    <x v="8"/>
    <n v="560000"/>
    <n v="0.2"/>
    <n v="112000"/>
    <n v="448000"/>
    <d v="2025-03-17T00:00:00"/>
    <n v="275.77999999999997"/>
  </r>
  <r>
    <s v="CUST007"/>
    <x v="18"/>
    <x v="0"/>
    <x v="1"/>
    <x v="185"/>
    <n v="1150"/>
    <x v="14"/>
    <n v="20700"/>
    <n v="0"/>
    <n v="0"/>
    <n v="20700"/>
    <d v="2025-03-18T00:00:00"/>
    <n v="746.74"/>
  </r>
  <r>
    <s v="CUST009"/>
    <x v="17"/>
    <x v="2"/>
    <x v="1"/>
    <x v="186"/>
    <n v="1150"/>
    <x v="13"/>
    <n v="10350"/>
    <n v="0.1"/>
    <n v="1035"/>
    <n v="9315"/>
    <d v="2025-03-20T00:00:00"/>
    <n v="310.24"/>
  </r>
  <r>
    <s v="CUST023"/>
    <x v="20"/>
    <x v="2"/>
    <x v="1"/>
    <x v="187"/>
    <n v="1150"/>
    <x v="17"/>
    <n v="1150"/>
    <n v="0"/>
    <n v="0"/>
    <n v="1150"/>
    <d v="2025-03-22T00:00:00"/>
    <n v="341.12"/>
  </r>
  <r>
    <s v="CUST029"/>
    <x v="4"/>
    <x v="3"/>
    <x v="2"/>
    <x v="188"/>
    <n v="12000"/>
    <x v="10"/>
    <n v="180000"/>
    <n v="0.2"/>
    <n v="36000"/>
    <n v="144000"/>
    <d v="2025-03-25T00:00:00"/>
    <n v="91.71"/>
  </r>
  <r>
    <s v="CUST009"/>
    <x v="4"/>
    <x v="2"/>
    <x v="3"/>
    <x v="189"/>
    <n v="40000"/>
    <x v="6"/>
    <n v="440000"/>
    <n v="0.2"/>
    <n v="88000"/>
    <n v="352000"/>
    <d v="2025-03-26T00:00:00"/>
    <n v="331.59"/>
  </r>
  <r>
    <s v="CUST007"/>
    <x v="0"/>
    <x v="2"/>
    <x v="1"/>
    <x v="190"/>
    <n v="1150"/>
    <x v="13"/>
    <n v="10350"/>
    <n v="0"/>
    <n v="0"/>
    <n v="10350"/>
    <d v="2025-03-27T00:00:00"/>
    <n v="381.07"/>
  </r>
  <r>
    <s v="CUST030"/>
    <x v="17"/>
    <x v="3"/>
    <x v="0"/>
    <x v="191"/>
    <n v="60"/>
    <x v="11"/>
    <n v="600"/>
    <n v="0.15"/>
    <n v="90"/>
    <n v="510"/>
    <d v="2025-03-27T00:00:00"/>
    <n v="255.24"/>
  </r>
  <r>
    <s v="CUST018"/>
    <x v="26"/>
    <x v="4"/>
    <x v="1"/>
    <x v="192"/>
    <n v="1150"/>
    <x v="8"/>
    <n v="16100"/>
    <n v="0.05"/>
    <n v="805"/>
    <n v="15295"/>
    <d v="2025-03-29T00:00:00"/>
    <n v="692.05"/>
  </r>
  <r>
    <s v="CUST008"/>
    <x v="21"/>
    <x v="1"/>
    <x v="3"/>
    <x v="193"/>
    <n v="40000"/>
    <x v="2"/>
    <n v="680000"/>
    <n v="0.1"/>
    <n v="68000"/>
    <n v="612000"/>
    <d v="2025-03-29T00:00:00"/>
    <n v="344.41"/>
  </r>
  <r>
    <s v="CUST014"/>
    <x v="11"/>
    <x v="0"/>
    <x v="1"/>
    <x v="194"/>
    <n v="1150"/>
    <x v="4"/>
    <n v="9200"/>
    <n v="0.15"/>
    <n v="1380"/>
    <n v="7820"/>
    <d v="2025-03-30T00:00:00"/>
    <n v="397.06"/>
  </r>
  <r>
    <s v="CUST024"/>
    <x v="8"/>
    <x v="4"/>
    <x v="1"/>
    <x v="195"/>
    <n v="1150"/>
    <x v="4"/>
    <n v="9200"/>
    <n v="0.2"/>
    <n v="1840"/>
    <n v="7360"/>
    <d v="2025-03-30T00:00:00"/>
    <n v="586.14"/>
  </r>
  <r>
    <s v="CUST028"/>
    <x v="1"/>
    <x v="2"/>
    <x v="4"/>
    <x v="196"/>
    <n v="10000"/>
    <x v="1"/>
    <n v="30000"/>
    <n v="0"/>
    <n v="0"/>
    <n v="30000"/>
    <d v="2025-04-02T00:00:00"/>
    <n v="333.36"/>
  </r>
  <r>
    <s v="CUST015"/>
    <x v="11"/>
    <x v="0"/>
    <x v="4"/>
    <x v="197"/>
    <n v="10000"/>
    <x v="2"/>
    <n v="170000"/>
    <n v="0"/>
    <n v="0"/>
    <n v="170000"/>
    <d v="2025-04-05T00:00:00"/>
    <n v="245.45"/>
  </r>
  <r>
    <s v="CUST010"/>
    <x v="8"/>
    <x v="1"/>
    <x v="0"/>
    <x v="198"/>
    <n v="60"/>
    <x v="4"/>
    <n v="480"/>
    <n v="0.05"/>
    <n v="24"/>
    <n v="456"/>
    <d v="2025-04-05T00:00:00"/>
    <n v="379.09"/>
  </r>
  <r>
    <s v="CUST016"/>
    <x v="8"/>
    <x v="2"/>
    <x v="1"/>
    <x v="199"/>
    <n v="1150"/>
    <x v="7"/>
    <n v="2300"/>
    <n v="0.05"/>
    <n v="115"/>
    <n v="2185"/>
    <d v="2025-04-07T00:00:00"/>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54515C-5873-4F02-8388-E81867BB1842}" name="PivotTable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13">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showAll="0"/>
    <pivotField showAll="0"/>
    <pivotField showAll="0"/>
    <pivotField showAll="0"/>
    <pivotField showAll="0"/>
    <pivotField numFmtId="164" showAll="0"/>
    <pivotField showAll="0"/>
  </pivotFields>
  <rowFields count="1">
    <field x="2"/>
  </rowFields>
  <rowItems count="5">
    <i>
      <x/>
    </i>
    <i>
      <x v="1"/>
    </i>
    <i>
      <x v="2"/>
    </i>
    <i>
      <x v="3"/>
    </i>
    <i>
      <x v="4"/>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79EAD4-BC3A-4C70-A5B1-30DB9BBA21AF}"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13">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showAll="0"/>
    <pivotField showAll="0"/>
    <pivotField showAll="0"/>
    <pivotField showAll="0"/>
    <pivotField showAll="0"/>
    <pivotField numFmtId="164" showAll="0"/>
    <pivotField showAll="0"/>
  </pivotFields>
  <rowFields count="1">
    <field x="3"/>
  </rowFields>
  <rowItems count="5">
    <i>
      <x/>
    </i>
    <i>
      <x v="1"/>
    </i>
    <i>
      <x v="2"/>
    </i>
    <i>
      <x v="3"/>
    </i>
    <i>
      <x v="4"/>
    </i>
  </rowItems>
  <colItems count="1">
    <i/>
  </colItems>
  <dataFields count="1">
    <dataField name="Sum of Sales" fld="4"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C6B382-E3EC-45B5-9FE8-0EEE7011AE38}"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F9" firstHeaderRow="1" firstDataRow="2" firstDataCol="1"/>
  <pivotFields count="13">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axis="axisCol" showAll="0">
      <items count="6">
        <item x="4"/>
        <item x="1"/>
        <item x="3"/>
        <item x="2"/>
        <item x="0"/>
        <item t="default"/>
      </items>
    </pivotField>
    <pivotField axis="axisRow" showAll="0">
      <items count="6">
        <item sd="0" x="0"/>
        <item sd="0" x="1"/>
        <item sd="0" x="2"/>
        <item sd="0" x="3"/>
        <item sd="0" x="4"/>
        <item t="default"/>
      </items>
    </pivotField>
    <pivotField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dataField="1" showAll="0"/>
    <pivotField showAll="0">
      <items count="20">
        <item x="17"/>
        <item x="7"/>
        <item x="1"/>
        <item x="0"/>
        <item x="16"/>
        <item x="5"/>
        <item x="9"/>
        <item x="4"/>
        <item x="13"/>
        <item x="11"/>
        <item x="6"/>
        <item x="3"/>
        <item x="12"/>
        <item x="8"/>
        <item x="10"/>
        <item x="18"/>
        <item x="2"/>
        <item x="14"/>
        <item x="15"/>
        <item t="default"/>
      </items>
    </pivotField>
    <pivotField showAll="0"/>
    <pivotField showAll="0"/>
    <pivotField showAll="0"/>
    <pivotField showAll="0"/>
    <pivotField numFmtId="164" showAll="0"/>
    <pivotField showAll="0"/>
  </pivotFields>
  <rowFields count="1">
    <field x="3"/>
  </rowFields>
  <rowItems count="5">
    <i>
      <x/>
    </i>
    <i>
      <x v="1"/>
    </i>
    <i>
      <x v="2"/>
    </i>
    <i>
      <x v="3"/>
    </i>
    <i>
      <x v="4"/>
    </i>
  </rowItems>
  <colFields count="1">
    <field x="2"/>
  </colFields>
  <colItems count="5">
    <i>
      <x/>
    </i>
    <i>
      <x v="1"/>
    </i>
    <i>
      <x v="2"/>
    </i>
    <i>
      <x v="3"/>
    </i>
    <i>
      <x v="4"/>
    </i>
  </colItems>
  <dataFields count="1">
    <dataField name="Average of PRICE" fld="5" subtotal="average" baseField="3" baseItem="0"/>
  </dataFields>
  <chartFormats count="18">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 chart="6" format="5" series="1">
      <pivotArea type="data" outline="0" fieldPosition="0">
        <references count="2">
          <reference field="4294967294" count="1" selected="0">
            <x v="0"/>
          </reference>
          <reference field="2" count="1" selected="0">
            <x v="0"/>
          </reference>
        </references>
      </pivotArea>
    </chartFormat>
    <chartFormat chart="6" format="6" series="1">
      <pivotArea type="data" outline="0" fieldPosition="0">
        <references count="2">
          <reference field="4294967294" count="1" selected="0">
            <x v="0"/>
          </reference>
          <reference field="2" count="1" selected="0">
            <x v="1"/>
          </reference>
        </references>
      </pivotArea>
    </chartFormat>
    <chartFormat chart="6" format="7" series="1">
      <pivotArea type="data" outline="0" fieldPosition="0">
        <references count="2">
          <reference field="4294967294" count="1" selected="0">
            <x v="0"/>
          </reference>
          <reference field="2" count="1" selected="0">
            <x v="2"/>
          </reference>
        </references>
      </pivotArea>
    </chartFormat>
    <chartFormat chart="6" format="8" series="1">
      <pivotArea type="data" outline="0" fieldPosition="0">
        <references count="2">
          <reference field="4294967294" count="1" selected="0">
            <x v="0"/>
          </reference>
          <reference field="2" count="1" selected="0">
            <x v="3"/>
          </reference>
        </references>
      </pivotArea>
    </chartFormat>
    <chartFormat chart="6" format="9" series="1">
      <pivotArea type="data" outline="0" fieldPosition="0">
        <references count="2">
          <reference field="4294967294" count="1" selected="0">
            <x v="0"/>
          </reference>
          <reference field="2" count="1" selected="0">
            <x v="4"/>
          </reference>
        </references>
      </pivotArea>
    </chartFormat>
    <chartFormat chart="7" format="10" series="1">
      <pivotArea type="data" outline="0" fieldPosition="0">
        <references count="2">
          <reference field="4294967294" count="1" selected="0">
            <x v="0"/>
          </reference>
          <reference field="2" count="1" selected="0">
            <x v="0"/>
          </reference>
        </references>
      </pivotArea>
    </chartFormat>
    <chartFormat chart="7" format="11" series="1">
      <pivotArea type="data" outline="0" fieldPosition="0">
        <references count="2">
          <reference field="4294967294" count="1" selected="0">
            <x v="0"/>
          </reference>
          <reference field="2" count="1" selected="0">
            <x v="1"/>
          </reference>
        </references>
      </pivotArea>
    </chartFormat>
    <chartFormat chart="7" format="12" series="1">
      <pivotArea type="data" outline="0" fieldPosition="0">
        <references count="2">
          <reference field="4294967294" count="1" selected="0">
            <x v="0"/>
          </reference>
          <reference field="2" count="1" selected="0">
            <x v="2"/>
          </reference>
        </references>
      </pivotArea>
    </chartFormat>
    <chartFormat chart="7" format="13" series="1">
      <pivotArea type="data" outline="0" fieldPosition="0">
        <references count="2">
          <reference field="4294967294" count="1" selected="0">
            <x v="0"/>
          </reference>
          <reference field="2" count="1" selected="0">
            <x v="3"/>
          </reference>
        </references>
      </pivotArea>
    </chartFormat>
    <chartFormat chart="7" format="14" series="1">
      <pivotArea type="data" outline="0" fieldPosition="0">
        <references count="2">
          <reference field="4294967294" count="1" selected="0">
            <x v="0"/>
          </reference>
          <reference field="2" count="1" selected="0">
            <x v="4"/>
          </reference>
        </references>
      </pivotArea>
    </chartFormat>
    <chartFormat chart="7" format="15"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45893E-FD1D-45FF-897B-F23043FA15E2}" sourceName="Region">
  <pivotTables>
    <pivotTable tabId="3" name="PivotTable1"/>
    <pivotTable tabId="5" name="PivotTable3"/>
    <pivotTable tabId="4" name="PivotTable2"/>
  </pivotTables>
  <data>
    <tabular pivotCacheId="1511157460">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A075D9C-2FB6-4033-B562-CEFFEDB4594C}" sourceName="Product_Category">
  <pivotTables>
    <pivotTable tabId="3" name="PivotTable1"/>
    <pivotTable tabId="5" name="PivotTable3"/>
    <pivotTable tabId="4" name="PivotTable2"/>
  </pivotTables>
  <data>
    <tabular pivotCacheId="1511157460">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103365F4-B531-4BE5-A0C7-108E6063CB6D}" sourceName="Sales">
  <pivotTables>
    <pivotTable tabId="3" name="PivotTable1"/>
    <pivotTable tabId="5" name="PivotTable3"/>
    <pivotTable tabId="4" name="PivotTable2"/>
  </pivotTables>
  <data>
    <tabular pivotCacheId="1511157460">
      <items count="200">
        <i x="129" s="1"/>
        <i x="148" s="1"/>
        <i x="145" s="1"/>
        <i x="156" s="1"/>
        <i x="143" s="1"/>
        <i x="21" s="1"/>
        <i x="182" s="1"/>
        <i x="188" s="1"/>
        <i x="35" s="1"/>
        <i x="61" s="1"/>
        <i x="180" s="1"/>
        <i x="8" s="1"/>
        <i x="137" s="1"/>
        <i x="77" s="1"/>
        <i x="14" s="1"/>
        <i x="72" s="1"/>
        <i x="197" s="1"/>
        <i x="42" s="1"/>
        <i x="168" s="1"/>
        <i x="39" s="1"/>
        <i x="162" s="1"/>
        <i x="100" s="1"/>
        <i x="70" s="1"/>
        <i x="17" s="1"/>
        <i x="161" s="1"/>
        <i x="19" s="1"/>
        <i x="114" s="1"/>
        <i x="147" s="1"/>
        <i x="26" s="1"/>
        <i x="80" s="1"/>
        <i x="187" s="1"/>
        <i x="115" s="1"/>
        <i x="186" s="1"/>
        <i x="111" s="1"/>
        <i x="173" s="1"/>
        <i x="23" s="1"/>
        <i x="125" s="1"/>
        <i x="179" s="1"/>
        <i x="2" s="1"/>
        <i x="123" s="1"/>
        <i x="91" s="1"/>
        <i x="108" s="1"/>
        <i x="9" s="1"/>
        <i x="196" s="1"/>
        <i x="57" s="1"/>
        <i x="166" s="1"/>
        <i x="22" s="1"/>
        <i x="150" s="1"/>
        <i x="191" s="1"/>
        <i x="3" s="1"/>
        <i x="190" s="1"/>
        <i x="113" s="1"/>
        <i x="38" s="1"/>
        <i x="49" s="1"/>
        <i x="82" s="1"/>
        <i x="29" s="1"/>
        <i x="73" s="1"/>
        <i x="69" s="1"/>
        <i x="138" s="1"/>
        <i x="54" s="1"/>
        <i x="136" s="1"/>
        <i x="13" s="1"/>
        <i x="98" s="1"/>
        <i x="176" s="1"/>
        <i x="165" s="1"/>
        <i x="135" s="1"/>
        <i x="43" s="1"/>
        <i x="36" s="1"/>
        <i x="170" s="1"/>
        <i x="4" s="1"/>
        <i x="32" s="1"/>
        <i x="132" s="1"/>
        <i x="45" s="1"/>
        <i x="152" s="1"/>
        <i x="183" s="1"/>
        <i x="151" s="1"/>
        <i x="86" s="1"/>
        <i x="92" s="1"/>
        <i x="66" s="1"/>
        <i x="16" s="1"/>
        <i x="149" s="1"/>
        <i x="134" s="1"/>
        <i x="99" s="1"/>
        <i x="95" s="1"/>
        <i x="55" s="1"/>
        <i x="128" s="1"/>
        <i x="103" s="1"/>
        <i x="24" s="1"/>
        <i x="199" s="1"/>
        <i x="62" s="1"/>
        <i x="194" s="1"/>
        <i x="27" s="1"/>
        <i x="53" s="1"/>
        <i x="20" s="1"/>
        <i x="119" s="1"/>
        <i x="105" s="1"/>
        <i x="5" s="1"/>
        <i x="94" s="1"/>
        <i x="33" s="1"/>
        <i x="56" s="1"/>
        <i x="110" s="1"/>
        <i x="71" s="1"/>
        <i x="28" s="1"/>
        <i x="184" s="1"/>
        <i x="101" s="1"/>
        <i x="198" s="1"/>
        <i x="47" s="1"/>
        <i x="63" s="1"/>
        <i x="118" s="1"/>
        <i x="102" s="1"/>
        <i x="117" s="1"/>
        <i x="175" s="1"/>
        <i x="122" s="1"/>
        <i x="68" s="1"/>
        <i x="50" s="1"/>
        <i x="177" s="1"/>
        <i x="31" s="1"/>
        <i x="41" s="1"/>
        <i x="171" s="1"/>
        <i x="65" s="1"/>
        <i x="0" s="1"/>
        <i x="154" s="1"/>
        <i x="133" s="1"/>
        <i x="181" s="1"/>
        <i x="83" s="1"/>
        <i x="7" s="1"/>
        <i x="157" s="1"/>
        <i x="120" s="1"/>
        <i x="106" s="1"/>
        <i x="52" s="1"/>
        <i x="193" s="1"/>
        <i x="164" s="1"/>
        <i x="178" s="1"/>
        <i x="64" s="1"/>
        <i x="1" s="1"/>
        <i x="90" s="1"/>
        <i x="163" s="1"/>
        <i x="78" s="1"/>
        <i x="169" s="1"/>
        <i x="159" s="1"/>
        <i x="81" s="1"/>
        <i x="131" s="1"/>
        <i x="40" s="1"/>
        <i x="88" s="1"/>
        <i x="93" s="1"/>
        <i x="142" s="1"/>
        <i x="121" s="1"/>
        <i x="84" s="1"/>
        <i x="153" s="1"/>
        <i x="96" s="1"/>
        <i x="25" s="1"/>
        <i x="189" s="1"/>
        <i x="48" s="1"/>
        <i x="172" s="1"/>
        <i x="12" s="1"/>
        <i x="112" s="1"/>
        <i x="34" s="1"/>
        <i x="97" s="1"/>
        <i x="130" s="1"/>
        <i x="75" s="1"/>
        <i x="46" s="1"/>
        <i x="51" s="1"/>
        <i x="44" s="1"/>
        <i x="141" s="1"/>
        <i x="58" s="1"/>
        <i x="116" s="1"/>
        <i x="158" s="1"/>
        <i x="76" s="1"/>
        <i x="89" s="1"/>
        <i x="124" s="1"/>
        <i x="104" s="1"/>
        <i x="79" s="1"/>
        <i x="109" s="1"/>
        <i x="167" s="1"/>
        <i x="6" s="1"/>
        <i x="85" s="1"/>
        <i x="11" s="1"/>
        <i x="127" s="1"/>
        <i x="146" s="1"/>
        <i x="59" s="1"/>
        <i x="67" s="1"/>
        <i x="60" s="1"/>
        <i x="37" s="1"/>
        <i x="126" s="1"/>
        <i x="139" s="1"/>
        <i x="87" s="1"/>
        <i x="30" s="1"/>
        <i x="192" s="1"/>
        <i x="195" s="1"/>
        <i x="140" s="1"/>
        <i x="185" s="1"/>
        <i x="15" s="1"/>
        <i x="18" s="1"/>
        <i x="74" s="1"/>
        <i x="10" s="1"/>
        <i x="144" s="1"/>
        <i x="174" s="1"/>
        <i x="160" s="1"/>
        <i x="155" s="1"/>
        <i x="10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238227-B561-4B04-84B9-8BAE88440171}" cache="Slicer_Region" caption="Region" rowHeight="234950"/>
  <slicer name="Product_Category" xr10:uid="{67B4488C-5796-4F43-92E2-815815ADE7F0}" cache="Slicer_Product_Category" caption="Product_Category" rowHeight="234950"/>
  <slicer name="Sales" xr10:uid="{72758ED2-7DFC-463B-8482-9A82CBF9466E}" cache="Slicer_Sales" caption="Sales"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E3585-ED79-46E6-8EC7-D375785F6F57}">
  <dimension ref="A1:Z29"/>
  <sheetViews>
    <sheetView showGridLines="0" workbookViewId="0">
      <selection activeCell="Z5" sqref="Z5"/>
    </sheetView>
  </sheetViews>
  <sheetFormatPr defaultRowHeight="14.4" x14ac:dyDescent="0.3"/>
  <sheetData>
    <row r="1" spans="1:25" x14ac:dyDescent="0.3">
      <c r="A1" s="9"/>
      <c r="B1" s="10" t="s">
        <v>85</v>
      </c>
      <c r="C1" s="10"/>
      <c r="D1" s="10"/>
      <c r="E1" s="10"/>
      <c r="F1" s="10"/>
      <c r="G1" s="10"/>
      <c r="H1" s="10"/>
      <c r="I1" s="10"/>
      <c r="J1" s="10"/>
      <c r="K1" s="10"/>
      <c r="L1" s="10"/>
      <c r="M1" s="10"/>
      <c r="N1" s="10"/>
      <c r="O1" s="10"/>
      <c r="P1" s="10"/>
      <c r="Q1" s="10"/>
      <c r="R1" s="10"/>
      <c r="S1" s="10"/>
      <c r="T1" s="10"/>
      <c r="U1" s="10"/>
      <c r="V1" s="10"/>
      <c r="W1" s="10"/>
      <c r="X1" s="10"/>
      <c r="Y1" s="12"/>
    </row>
    <row r="2" spans="1:25" x14ac:dyDescent="0.3">
      <c r="A2" s="9"/>
      <c r="B2" s="10"/>
      <c r="C2" s="10"/>
      <c r="D2" s="10"/>
      <c r="E2" s="10"/>
      <c r="F2" s="10"/>
      <c r="G2" s="10"/>
      <c r="H2" s="10"/>
      <c r="I2" s="10"/>
      <c r="J2" s="10"/>
      <c r="K2" s="10"/>
      <c r="L2" s="10"/>
      <c r="M2" s="10"/>
      <c r="N2" s="10"/>
      <c r="O2" s="10"/>
      <c r="P2" s="10"/>
      <c r="Q2" s="10"/>
      <c r="R2" s="10"/>
      <c r="S2" s="10"/>
      <c r="T2" s="10"/>
      <c r="U2" s="10"/>
      <c r="V2" s="10"/>
      <c r="W2" s="10"/>
      <c r="X2" s="10"/>
      <c r="Y2" s="12"/>
    </row>
    <row r="3" spans="1:25" x14ac:dyDescent="0.3">
      <c r="A3" s="9"/>
      <c r="B3" s="10"/>
      <c r="C3" s="10"/>
      <c r="D3" s="10"/>
      <c r="E3" s="10"/>
      <c r="F3" s="10"/>
      <c r="G3" s="10"/>
      <c r="H3" s="10"/>
      <c r="I3" s="10"/>
      <c r="J3" s="10"/>
      <c r="K3" s="10"/>
      <c r="L3" s="10"/>
      <c r="M3" s="10"/>
      <c r="N3" s="10"/>
      <c r="O3" s="10"/>
      <c r="P3" s="10"/>
      <c r="Q3" s="10"/>
      <c r="R3" s="10"/>
      <c r="S3" s="10"/>
      <c r="T3" s="10"/>
      <c r="U3" s="10"/>
      <c r="V3" s="10"/>
      <c r="W3" s="10"/>
      <c r="X3" s="10"/>
      <c r="Y3" s="12"/>
    </row>
    <row r="4" spans="1:25" x14ac:dyDescent="0.3">
      <c r="A4" s="9"/>
      <c r="B4" s="11"/>
      <c r="C4" s="11"/>
      <c r="D4" s="11"/>
      <c r="E4" s="11"/>
      <c r="F4" s="11"/>
      <c r="G4" s="11"/>
      <c r="H4" s="11"/>
      <c r="I4" s="11"/>
      <c r="J4" s="11"/>
      <c r="K4" s="11"/>
      <c r="L4" s="11"/>
      <c r="M4" s="11"/>
      <c r="N4" s="11"/>
      <c r="O4" s="11"/>
      <c r="P4" s="11"/>
      <c r="Q4" s="11"/>
      <c r="R4" s="11"/>
      <c r="S4" s="11"/>
      <c r="T4" s="11"/>
      <c r="U4" s="11"/>
      <c r="V4" s="11"/>
      <c r="W4" s="11"/>
      <c r="X4" s="11"/>
      <c r="Y4" s="12"/>
    </row>
    <row r="5" spans="1:25" x14ac:dyDescent="0.3">
      <c r="A5" s="9"/>
      <c r="B5" s="11"/>
      <c r="C5" s="11"/>
      <c r="D5" s="11"/>
      <c r="E5" s="11"/>
      <c r="F5" s="11"/>
      <c r="G5" s="11"/>
      <c r="H5" s="11"/>
      <c r="I5" s="11"/>
      <c r="J5" s="11"/>
      <c r="K5" s="11"/>
      <c r="L5" s="11"/>
      <c r="M5" s="11"/>
      <c r="N5" s="11"/>
      <c r="O5" s="11"/>
      <c r="P5" s="11"/>
      <c r="Q5" s="11"/>
      <c r="R5" s="11"/>
      <c r="S5" s="11"/>
      <c r="T5" s="11"/>
      <c r="U5" s="11"/>
      <c r="V5" s="11"/>
      <c r="W5" s="11"/>
      <c r="X5" s="11"/>
      <c r="Y5" s="12"/>
    </row>
    <row r="6" spans="1:25" x14ac:dyDescent="0.3">
      <c r="A6" s="9"/>
      <c r="B6" s="11"/>
      <c r="C6" s="11"/>
      <c r="D6" s="11"/>
      <c r="E6" s="11"/>
      <c r="F6" s="11"/>
      <c r="G6" s="11"/>
      <c r="H6" s="11"/>
      <c r="I6" s="11"/>
      <c r="J6" s="11"/>
      <c r="K6" s="11"/>
      <c r="L6" s="11"/>
      <c r="M6" s="11"/>
      <c r="N6" s="11"/>
      <c r="O6" s="11"/>
      <c r="P6" s="11"/>
      <c r="Q6" s="11"/>
      <c r="R6" s="11"/>
      <c r="S6" s="11"/>
      <c r="T6" s="11"/>
      <c r="U6" s="11"/>
      <c r="V6" s="11"/>
      <c r="W6" s="11"/>
      <c r="X6" s="11"/>
      <c r="Y6" s="12"/>
    </row>
    <row r="7" spans="1:25" x14ac:dyDescent="0.3">
      <c r="A7" s="9"/>
      <c r="B7" s="11"/>
      <c r="C7" s="11"/>
      <c r="D7" s="11"/>
      <c r="E7" s="11"/>
      <c r="F7" s="11"/>
      <c r="G7" s="11"/>
      <c r="H7" s="11"/>
      <c r="I7" s="11"/>
      <c r="J7" s="11"/>
      <c r="K7" s="11"/>
      <c r="L7" s="11"/>
      <c r="M7" s="11"/>
      <c r="N7" s="11"/>
      <c r="O7" s="11"/>
      <c r="P7" s="11"/>
      <c r="Q7" s="11"/>
      <c r="R7" s="11"/>
      <c r="S7" s="11"/>
      <c r="T7" s="11"/>
      <c r="U7" s="11"/>
      <c r="V7" s="11"/>
      <c r="W7" s="11"/>
      <c r="X7" s="11"/>
      <c r="Y7" s="12"/>
    </row>
    <row r="8" spans="1:25" x14ac:dyDescent="0.3">
      <c r="A8" s="9"/>
      <c r="B8" s="11"/>
      <c r="C8" s="11"/>
      <c r="D8" s="11"/>
      <c r="E8" s="11"/>
      <c r="F8" s="11"/>
      <c r="G8" s="11"/>
      <c r="H8" s="11"/>
      <c r="I8" s="11"/>
      <c r="J8" s="11"/>
      <c r="K8" s="11"/>
      <c r="L8" s="11"/>
      <c r="M8" s="11"/>
      <c r="N8" s="11"/>
      <c r="O8" s="11"/>
      <c r="P8" s="11"/>
      <c r="Q8" s="11"/>
      <c r="R8" s="11"/>
      <c r="S8" s="11"/>
      <c r="T8" s="11"/>
      <c r="U8" s="11"/>
      <c r="V8" s="11"/>
      <c r="W8" s="11"/>
      <c r="X8" s="11"/>
      <c r="Y8" s="12"/>
    </row>
    <row r="9" spans="1:25" x14ac:dyDescent="0.3">
      <c r="A9" s="9"/>
      <c r="B9" s="11"/>
      <c r="C9" s="11"/>
      <c r="D9" s="11"/>
      <c r="E9" s="11"/>
      <c r="F9" s="11"/>
      <c r="G9" s="11"/>
      <c r="H9" s="11"/>
      <c r="I9" s="11"/>
      <c r="J9" s="11"/>
      <c r="K9" s="11"/>
      <c r="L9" s="11"/>
      <c r="M9" s="11"/>
      <c r="N9" s="11"/>
      <c r="O9" s="11"/>
      <c r="P9" s="11"/>
      <c r="Q9" s="11"/>
      <c r="R9" s="11"/>
      <c r="S9" s="11"/>
      <c r="T9" s="11"/>
      <c r="U9" s="11"/>
      <c r="V9" s="11"/>
      <c r="W9" s="11"/>
      <c r="X9" s="11"/>
      <c r="Y9" s="12"/>
    </row>
    <row r="10" spans="1:25" x14ac:dyDescent="0.3">
      <c r="A10" s="9"/>
      <c r="B10" s="11"/>
      <c r="C10" s="11"/>
      <c r="D10" s="11"/>
      <c r="E10" s="11"/>
      <c r="F10" s="11"/>
      <c r="G10" s="11"/>
      <c r="H10" s="11"/>
      <c r="I10" s="11"/>
      <c r="J10" s="11"/>
      <c r="K10" s="11"/>
      <c r="L10" s="11"/>
      <c r="M10" s="11"/>
      <c r="N10" s="11"/>
      <c r="O10" s="11"/>
      <c r="P10" s="11"/>
      <c r="Q10" s="11"/>
      <c r="R10" s="11"/>
      <c r="S10" s="11"/>
      <c r="T10" s="11"/>
      <c r="U10" s="11"/>
      <c r="V10" s="11"/>
      <c r="W10" s="11"/>
      <c r="X10" s="11"/>
      <c r="Y10" s="12"/>
    </row>
    <row r="11" spans="1:25" x14ac:dyDescent="0.3">
      <c r="A11" s="9"/>
      <c r="B11" s="11"/>
      <c r="C11" s="11"/>
      <c r="D11" s="11"/>
      <c r="E11" s="11"/>
      <c r="F11" s="11"/>
      <c r="G11" s="11"/>
      <c r="H11" s="11"/>
      <c r="I11" s="11"/>
      <c r="J11" s="11"/>
      <c r="K11" s="11"/>
      <c r="L11" s="11"/>
      <c r="M11" s="11"/>
      <c r="N11" s="11"/>
      <c r="O11" s="11"/>
      <c r="P11" s="11"/>
      <c r="Q11" s="11"/>
      <c r="R11" s="11"/>
      <c r="S11" s="11"/>
      <c r="T11" s="11"/>
      <c r="U11" s="11"/>
      <c r="V11" s="11"/>
      <c r="W11" s="11"/>
      <c r="X11" s="11"/>
      <c r="Y11" s="12"/>
    </row>
    <row r="12" spans="1:25" x14ac:dyDescent="0.3">
      <c r="A12" s="9"/>
      <c r="B12" s="11"/>
      <c r="C12" s="11"/>
      <c r="D12" s="11"/>
      <c r="E12" s="11"/>
      <c r="F12" s="11"/>
      <c r="G12" s="11"/>
      <c r="H12" s="11"/>
      <c r="I12" s="11"/>
      <c r="J12" s="11"/>
      <c r="K12" s="11"/>
      <c r="L12" s="11"/>
      <c r="M12" s="11"/>
      <c r="N12" s="11"/>
      <c r="O12" s="11"/>
      <c r="P12" s="11"/>
      <c r="Q12" s="11"/>
      <c r="R12" s="11"/>
      <c r="S12" s="11"/>
      <c r="T12" s="11"/>
      <c r="U12" s="11"/>
      <c r="V12" s="11"/>
      <c r="W12" s="11"/>
      <c r="X12" s="11"/>
      <c r="Y12" s="12"/>
    </row>
    <row r="13" spans="1:25" x14ac:dyDescent="0.3">
      <c r="A13" s="9"/>
      <c r="B13" s="11"/>
      <c r="C13" s="11"/>
      <c r="D13" s="11"/>
      <c r="E13" s="11"/>
      <c r="F13" s="11"/>
      <c r="G13" s="11"/>
      <c r="H13" s="11"/>
      <c r="I13" s="11"/>
      <c r="J13" s="11"/>
      <c r="K13" s="11"/>
      <c r="L13" s="11"/>
      <c r="M13" s="11"/>
      <c r="N13" s="11"/>
      <c r="O13" s="11"/>
      <c r="P13" s="11"/>
      <c r="Q13" s="11"/>
      <c r="R13" s="11"/>
      <c r="S13" s="11"/>
      <c r="T13" s="11"/>
      <c r="U13" s="11"/>
      <c r="V13" s="11"/>
      <c r="W13" s="11"/>
      <c r="X13" s="11"/>
      <c r="Y13" s="12"/>
    </row>
    <row r="14" spans="1:25" x14ac:dyDescent="0.3">
      <c r="A14" s="9"/>
      <c r="B14" s="11"/>
      <c r="C14" s="11"/>
      <c r="D14" s="11"/>
      <c r="E14" s="11"/>
      <c r="F14" s="11"/>
      <c r="G14" s="11"/>
      <c r="H14" s="11"/>
      <c r="I14" s="11"/>
      <c r="J14" s="11"/>
      <c r="K14" s="11"/>
      <c r="L14" s="11"/>
      <c r="M14" s="11"/>
      <c r="N14" s="11"/>
      <c r="O14" s="11"/>
      <c r="P14" s="11"/>
      <c r="Q14" s="11"/>
      <c r="R14" s="11"/>
      <c r="S14" s="11"/>
      <c r="T14" s="11"/>
      <c r="U14" s="11"/>
      <c r="V14" s="11"/>
      <c r="W14" s="11"/>
      <c r="X14" s="11"/>
      <c r="Y14" s="12"/>
    </row>
    <row r="15" spans="1:25" x14ac:dyDescent="0.3">
      <c r="A15" s="9"/>
      <c r="B15" s="11"/>
      <c r="C15" s="11"/>
      <c r="D15" s="11"/>
      <c r="E15" s="11"/>
      <c r="F15" s="11"/>
      <c r="G15" s="11"/>
      <c r="H15" s="11"/>
      <c r="I15" s="11"/>
      <c r="J15" s="11"/>
      <c r="K15" s="11"/>
      <c r="L15" s="11"/>
      <c r="M15" s="11"/>
      <c r="N15" s="11"/>
      <c r="O15" s="11"/>
      <c r="P15" s="11"/>
      <c r="Q15" s="11"/>
      <c r="R15" s="11"/>
      <c r="S15" s="11"/>
      <c r="T15" s="11"/>
      <c r="U15" s="11"/>
      <c r="V15" s="11"/>
      <c r="W15" s="11"/>
      <c r="X15" s="11"/>
      <c r="Y15" s="12"/>
    </row>
    <row r="16" spans="1:25" x14ac:dyDescent="0.3">
      <c r="A16" s="9"/>
      <c r="B16" s="11"/>
      <c r="C16" s="11"/>
      <c r="D16" s="11"/>
      <c r="E16" s="11"/>
      <c r="F16" s="11"/>
      <c r="G16" s="11"/>
      <c r="H16" s="11"/>
      <c r="I16" s="11"/>
      <c r="J16" s="11"/>
      <c r="K16" s="11"/>
      <c r="L16" s="11"/>
      <c r="M16" s="11"/>
      <c r="N16" s="11"/>
      <c r="O16" s="11"/>
      <c r="P16" s="11"/>
      <c r="Q16" s="11"/>
      <c r="R16" s="11"/>
      <c r="S16" s="11"/>
      <c r="T16" s="11"/>
      <c r="U16" s="11"/>
      <c r="V16" s="11"/>
      <c r="W16" s="11"/>
      <c r="X16" s="11"/>
      <c r="Y16" s="12"/>
    </row>
    <row r="17" spans="1:26" x14ac:dyDescent="0.3">
      <c r="A17" s="9"/>
      <c r="B17" s="11"/>
      <c r="C17" s="11"/>
      <c r="D17" s="11"/>
      <c r="E17" s="11"/>
      <c r="F17" s="11"/>
      <c r="G17" s="11"/>
      <c r="H17" s="11"/>
      <c r="I17" s="11"/>
      <c r="J17" s="11"/>
      <c r="K17" s="11"/>
      <c r="L17" s="11"/>
      <c r="M17" s="11"/>
      <c r="N17" s="11"/>
      <c r="O17" s="11"/>
      <c r="P17" s="11"/>
      <c r="Q17" s="11"/>
      <c r="R17" s="11"/>
      <c r="S17" s="11"/>
      <c r="T17" s="11"/>
      <c r="U17" s="11"/>
      <c r="V17" s="11"/>
      <c r="W17" s="11"/>
      <c r="X17" s="11"/>
      <c r="Y17" s="12"/>
    </row>
    <row r="18" spans="1:26" x14ac:dyDescent="0.3">
      <c r="A18" s="9"/>
      <c r="B18" s="11"/>
      <c r="C18" s="11"/>
      <c r="D18" s="11"/>
      <c r="E18" s="11"/>
      <c r="F18" s="11"/>
      <c r="G18" s="11"/>
      <c r="H18" s="11"/>
      <c r="I18" s="11"/>
      <c r="J18" s="11"/>
      <c r="K18" s="11"/>
      <c r="L18" s="11"/>
      <c r="M18" s="11"/>
      <c r="N18" s="11"/>
      <c r="O18" s="11"/>
      <c r="P18" s="11"/>
      <c r="Q18" s="11"/>
      <c r="R18" s="11"/>
      <c r="S18" s="11"/>
      <c r="T18" s="11"/>
      <c r="U18" s="11"/>
      <c r="V18" s="11"/>
      <c r="W18" s="11"/>
      <c r="X18" s="11"/>
      <c r="Y18" s="12"/>
    </row>
    <row r="19" spans="1:26" x14ac:dyDescent="0.3">
      <c r="A19" s="9"/>
      <c r="B19" s="11"/>
      <c r="C19" s="11"/>
      <c r="D19" s="11"/>
      <c r="E19" s="11"/>
      <c r="F19" s="11"/>
      <c r="G19" s="11"/>
      <c r="H19" s="11"/>
      <c r="I19" s="11"/>
      <c r="J19" s="11"/>
      <c r="K19" s="11"/>
      <c r="L19" s="11"/>
      <c r="M19" s="11"/>
      <c r="N19" s="11"/>
      <c r="O19" s="11"/>
      <c r="P19" s="11"/>
      <c r="Q19" s="11"/>
      <c r="R19" s="11"/>
      <c r="S19" s="11"/>
      <c r="T19" s="11"/>
      <c r="U19" s="11"/>
      <c r="V19" s="11"/>
      <c r="W19" s="11"/>
      <c r="X19" s="11"/>
      <c r="Y19" s="12"/>
    </row>
    <row r="20" spans="1:26" x14ac:dyDescent="0.3">
      <c r="A20" s="9"/>
      <c r="B20" s="11"/>
      <c r="C20" s="11"/>
      <c r="D20" s="11"/>
      <c r="E20" s="11"/>
      <c r="F20" s="11"/>
      <c r="G20" s="11"/>
      <c r="H20" s="11"/>
      <c r="I20" s="11"/>
      <c r="J20" s="11"/>
      <c r="K20" s="11"/>
      <c r="L20" s="11"/>
      <c r="M20" s="11"/>
      <c r="N20" s="11"/>
      <c r="O20" s="11"/>
      <c r="P20" s="11"/>
      <c r="Q20" s="11"/>
      <c r="R20" s="11"/>
      <c r="S20" s="11"/>
      <c r="T20" s="11"/>
      <c r="U20" s="11"/>
      <c r="V20" s="11"/>
      <c r="W20" s="11"/>
      <c r="X20" s="11"/>
      <c r="Y20" s="12"/>
    </row>
    <row r="21" spans="1:26" x14ac:dyDescent="0.3">
      <c r="A21" s="9"/>
      <c r="B21" s="11"/>
      <c r="C21" s="11"/>
      <c r="D21" s="11"/>
      <c r="E21" s="11"/>
      <c r="F21" s="11"/>
      <c r="G21" s="11"/>
      <c r="H21" s="11"/>
      <c r="I21" s="11"/>
      <c r="J21" s="11"/>
      <c r="K21" s="11"/>
      <c r="L21" s="11"/>
      <c r="M21" s="11"/>
      <c r="N21" s="11"/>
      <c r="O21" s="11"/>
      <c r="P21" s="11"/>
      <c r="Q21" s="11"/>
      <c r="R21" s="11"/>
      <c r="S21" s="11"/>
      <c r="T21" s="11"/>
      <c r="U21" s="11"/>
      <c r="V21" s="11"/>
      <c r="W21" s="11"/>
      <c r="X21" s="11"/>
      <c r="Y21" s="12"/>
    </row>
    <row r="22" spans="1:26" x14ac:dyDescent="0.3">
      <c r="A22" s="9"/>
      <c r="B22" s="11"/>
      <c r="C22" s="11"/>
      <c r="D22" s="11"/>
      <c r="E22" s="11"/>
      <c r="F22" s="11"/>
      <c r="G22" s="11"/>
      <c r="H22" s="11"/>
      <c r="I22" s="11"/>
      <c r="J22" s="11"/>
      <c r="K22" s="11"/>
      <c r="L22" s="11"/>
      <c r="M22" s="11"/>
      <c r="N22" s="11"/>
      <c r="O22" s="11"/>
      <c r="P22" s="11"/>
      <c r="Q22" s="11"/>
      <c r="R22" s="11"/>
      <c r="S22" s="11"/>
      <c r="T22" s="11"/>
      <c r="U22" s="11"/>
      <c r="V22" s="11"/>
      <c r="W22" s="11"/>
      <c r="X22" s="11"/>
      <c r="Y22" s="12"/>
    </row>
    <row r="23" spans="1:26" x14ac:dyDescent="0.3">
      <c r="A23" s="9"/>
      <c r="B23" s="11"/>
      <c r="C23" s="11"/>
      <c r="D23" s="11"/>
      <c r="E23" s="11"/>
      <c r="F23" s="11"/>
      <c r="G23" s="11"/>
      <c r="H23" s="11"/>
      <c r="I23" s="11"/>
      <c r="J23" s="11"/>
      <c r="K23" s="11"/>
      <c r="L23" s="11"/>
      <c r="M23" s="11"/>
      <c r="N23" s="11"/>
      <c r="O23" s="11"/>
      <c r="P23" s="11"/>
      <c r="Q23" s="11"/>
      <c r="R23" s="11"/>
      <c r="S23" s="11"/>
      <c r="T23" s="11"/>
      <c r="U23" s="11"/>
      <c r="V23" s="11"/>
      <c r="W23" s="11"/>
      <c r="X23" s="11"/>
      <c r="Y23" s="12"/>
    </row>
    <row r="24" spans="1:26" x14ac:dyDescent="0.3">
      <c r="A24" s="9"/>
      <c r="B24" s="11"/>
      <c r="C24" s="11"/>
      <c r="D24" s="11"/>
      <c r="E24" s="11"/>
      <c r="F24" s="11"/>
      <c r="G24" s="11"/>
      <c r="H24" s="11"/>
      <c r="I24" s="11"/>
      <c r="J24" s="11"/>
      <c r="K24" s="11"/>
      <c r="L24" s="11"/>
      <c r="M24" s="11"/>
      <c r="N24" s="11"/>
      <c r="O24" s="11"/>
      <c r="P24" s="11"/>
      <c r="Q24" s="11"/>
      <c r="R24" s="11"/>
      <c r="S24" s="11"/>
      <c r="T24" s="11"/>
      <c r="U24" s="11"/>
      <c r="V24" s="11"/>
      <c r="W24" s="11"/>
      <c r="X24" s="11"/>
      <c r="Y24" s="12"/>
    </row>
    <row r="25" spans="1:26" x14ac:dyDescent="0.3">
      <c r="A25" s="9"/>
      <c r="B25" s="11"/>
      <c r="C25" s="11"/>
      <c r="D25" s="11"/>
      <c r="E25" s="11"/>
      <c r="F25" s="11"/>
      <c r="G25" s="11"/>
      <c r="H25" s="11"/>
      <c r="I25" s="11"/>
      <c r="J25" s="11"/>
      <c r="K25" s="11"/>
      <c r="L25" s="11"/>
      <c r="M25" s="11"/>
      <c r="N25" s="11"/>
      <c r="O25" s="11"/>
      <c r="P25" s="11"/>
      <c r="Q25" s="11"/>
      <c r="R25" s="11"/>
      <c r="S25" s="11"/>
      <c r="T25" s="11"/>
      <c r="U25" s="11"/>
      <c r="V25" s="11"/>
      <c r="W25" s="11"/>
      <c r="X25" s="11"/>
      <c r="Y25" s="12"/>
    </row>
    <row r="26" spans="1:26" x14ac:dyDescent="0.3">
      <c r="A26" s="9"/>
      <c r="B26" s="11"/>
      <c r="C26" s="11"/>
      <c r="D26" s="11"/>
      <c r="E26" s="11"/>
      <c r="F26" s="11"/>
      <c r="G26" s="11"/>
      <c r="H26" s="11"/>
      <c r="I26" s="11"/>
      <c r="J26" s="11"/>
      <c r="K26" s="11"/>
      <c r="L26" s="11"/>
      <c r="M26" s="11"/>
      <c r="N26" s="11"/>
      <c r="O26" s="11"/>
      <c r="P26" s="11"/>
      <c r="Q26" s="11"/>
      <c r="R26" s="11"/>
      <c r="S26" s="11"/>
      <c r="T26" s="11"/>
      <c r="U26" s="11"/>
      <c r="V26" s="11"/>
      <c r="W26" s="11"/>
      <c r="X26" s="11"/>
      <c r="Y26" s="12"/>
    </row>
    <row r="27" spans="1:26" x14ac:dyDescent="0.3">
      <c r="A27" s="9"/>
      <c r="B27" s="11"/>
      <c r="C27" s="11"/>
      <c r="D27" s="11"/>
      <c r="E27" s="11"/>
      <c r="F27" s="11"/>
      <c r="G27" s="11"/>
      <c r="H27" s="11"/>
      <c r="I27" s="11"/>
      <c r="J27" s="11"/>
      <c r="K27" s="11"/>
      <c r="L27" s="11"/>
      <c r="M27" s="11"/>
      <c r="N27" s="11"/>
      <c r="O27" s="11"/>
      <c r="P27" s="11"/>
      <c r="Q27" s="11"/>
      <c r="R27" s="11"/>
      <c r="S27" s="11"/>
      <c r="T27" s="11"/>
      <c r="U27" s="11"/>
      <c r="V27" s="11"/>
      <c r="W27" s="11"/>
      <c r="X27" s="11"/>
      <c r="Y27" s="12"/>
    </row>
    <row r="28" spans="1:26" x14ac:dyDescent="0.3">
      <c r="A28" s="9"/>
      <c r="B28" s="11"/>
      <c r="C28" s="11"/>
      <c r="D28" s="11"/>
      <c r="E28" s="11"/>
      <c r="F28" s="11"/>
      <c r="G28" s="11"/>
      <c r="H28" s="11"/>
      <c r="I28" s="11"/>
      <c r="J28" s="11"/>
      <c r="K28" s="11"/>
      <c r="L28" s="11"/>
      <c r="M28" s="11"/>
      <c r="N28" s="11"/>
      <c r="O28" s="11"/>
      <c r="P28" s="11"/>
      <c r="Q28" s="11"/>
      <c r="R28" s="11"/>
      <c r="S28" s="11"/>
      <c r="T28" s="11"/>
      <c r="U28" s="11"/>
      <c r="V28" s="11"/>
      <c r="W28" s="11"/>
      <c r="X28" s="11"/>
      <c r="Y28" s="12"/>
    </row>
    <row r="29" spans="1:26"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sheetData>
  <mergeCells count="1">
    <mergeCell ref="B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06E66-9338-4419-9581-6B0D09CF2BC6}">
  <dimension ref="A3:B8"/>
  <sheetViews>
    <sheetView workbookViewId="0">
      <selection activeCell="G3" sqref="G3"/>
    </sheetView>
  </sheetViews>
  <sheetFormatPr defaultRowHeight="14.4" x14ac:dyDescent="0.3"/>
  <cols>
    <col min="1" max="1" width="12.5546875" bestFit="1" customWidth="1"/>
    <col min="2" max="2" width="11.6640625" bestFit="1" customWidth="1"/>
    <col min="3" max="6" width="9" bestFit="1" customWidth="1"/>
    <col min="7" max="7" width="10.77734375" bestFit="1" customWidth="1"/>
  </cols>
  <sheetData>
    <row r="3" spans="1:2" x14ac:dyDescent="0.3">
      <c r="A3" s="7" t="s">
        <v>82</v>
      </c>
      <c r="B3" t="s">
        <v>81</v>
      </c>
    </row>
    <row r="4" spans="1:2" x14ac:dyDescent="0.3">
      <c r="A4" s="8" t="s">
        <v>34</v>
      </c>
      <c r="B4" s="6">
        <v>43468.33</v>
      </c>
    </row>
    <row r="5" spans="1:2" x14ac:dyDescent="0.3">
      <c r="A5" s="8" t="s">
        <v>18</v>
      </c>
      <c r="B5" s="6">
        <v>32441.64</v>
      </c>
    </row>
    <row r="6" spans="1:2" x14ac:dyDescent="0.3">
      <c r="A6" s="8" t="s">
        <v>24</v>
      </c>
      <c r="B6" s="6">
        <v>34975.42</v>
      </c>
    </row>
    <row r="7" spans="1:2" x14ac:dyDescent="0.3">
      <c r="A7" s="8" t="s">
        <v>20</v>
      </c>
      <c r="B7" s="6">
        <v>40248.79</v>
      </c>
    </row>
    <row r="8" spans="1:2" x14ac:dyDescent="0.3">
      <c r="A8" s="8" t="s">
        <v>11</v>
      </c>
      <c r="B8" s="6">
        <v>44083.58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9441-DB1E-4DEB-AFDC-E6781674E25D}">
  <dimension ref="A3:B8"/>
  <sheetViews>
    <sheetView workbookViewId="0">
      <selection activeCell="J4" sqref="J4"/>
    </sheetView>
  </sheetViews>
  <sheetFormatPr defaultRowHeight="14.4" x14ac:dyDescent="0.3"/>
  <cols>
    <col min="1" max="1" width="13.109375" bestFit="1" customWidth="1"/>
    <col min="2" max="2" width="11.6640625" bestFit="1" customWidth="1"/>
  </cols>
  <sheetData>
    <row r="3" spans="1:2" x14ac:dyDescent="0.3">
      <c r="A3" s="7" t="s">
        <v>82</v>
      </c>
      <c r="B3" t="s">
        <v>81</v>
      </c>
    </row>
    <row r="4" spans="1:2" x14ac:dyDescent="0.3">
      <c r="A4" s="8" t="s">
        <v>12</v>
      </c>
      <c r="B4" s="6">
        <v>47002.460000000006</v>
      </c>
    </row>
    <row r="5" spans="1:2" x14ac:dyDescent="0.3">
      <c r="A5" s="8" t="s">
        <v>15</v>
      </c>
      <c r="B5" s="6">
        <v>41927.589999999989</v>
      </c>
    </row>
    <row r="6" spans="1:2" x14ac:dyDescent="0.3">
      <c r="A6" s="8" t="s">
        <v>21</v>
      </c>
      <c r="B6" s="6">
        <v>41044.000000000007</v>
      </c>
    </row>
    <row r="7" spans="1:2" x14ac:dyDescent="0.3">
      <c r="A7" s="8" t="s">
        <v>27</v>
      </c>
      <c r="B7" s="6">
        <v>36612.89</v>
      </c>
    </row>
    <row r="8" spans="1:2" x14ac:dyDescent="0.3">
      <c r="A8" s="8" t="s">
        <v>39</v>
      </c>
      <c r="B8" s="6">
        <v>28630.819999999992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9C4C5-4330-433D-B6D8-0BCE716FD30C}">
  <dimension ref="A3:F9"/>
  <sheetViews>
    <sheetView workbookViewId="0">
      <selection activeCell="F14" sqref="F14"/>
    </sheetView>
  </sheetViews>
  <sheetFormatPr defaultRowHeight="14.4" x14ac:dyDescent="0.3"/>
  <cols>
    <col min="1" max="2" width="15.5546875" bestFit="1" customWidth="1"/>
    <col min="3" max="6" width="6" bestFit="1" customWidth="1"/>
    <col min="7" max="7" width="7" bestFit="1" customWidth="1"/>
    <col min="8" max="8" width="4.44140625" bestFit="1" customWidth="1"/>
    <col min="9" max="9" width="5.88671875" bestFit="1" customWidth="1"/>
    <col min="10" max="10" width="6" bestFit="1" customWidth="1"/>
    <col min="11" max="11" width="5.21875" bestFit="1" customWidth="1"/>
    <col min="12" max="12" width="6.6640625" bestFit="1" customWidth="1"/>
    <col min="13" max="13" width="7" bestFit="1" customWidth="1"/>
    <col min="14" max="16" width="6" bestFit="1" customWidth="1"/>
    <col min="17" max="17" width="6.6640625" bestFit="1" customWidth="1"/>
    <col min="18" max="18" width="7" bestFit="1" customWidth="1"/>
    <col min="19" max="22" width="6" bestFit="1" customWidth="1"/>
    <col min="23" max="24" width="7" bestFit="1" customWidth="1"/>
    <col min="25" max="25" width="5" bestFit="1" customWidth="1"/>
    <col min="26" max="28" width="6" bestFit="1" customWidth="1"/>
    <col min="29" max="29" width="6.6640625" bestFit="1" customWidth="1"/>
    <col min="30" max="30" width="7" bestFit="1" customWidth="1"/>
    <col min="31" max="31" width="6" bestFit="1" customWidth="1"/>
    <col min="32" max="32" width="5.88671875" bestFit="1" customWidth="1"/>
    <col min="33" max="34" width="6" bestFit="1" customWidth="1"/>
    <col min="35" max="35" width="6.6640625" bestFit="1" customWidth="1"/>
    <col min="36" max="36" width="7" bestFit="1" customWidth="1"/>
    <col min="37" max="39" width="6" bestFit="1" customWidth="1"/>
    <col min="40" max="41" width="7" bestFit="1" customWidth="1"/>
    <col min="42" max="44" width="6" bestFit="1" customWidth="1"/>
    <col min="45" max="45" width="5.21875" bestFit="1" customWidth="1"/>
    <col min="46" max="47" width="7" bestFit="1" customWidth="1"/>
    <col min="48" max="49" width="6" bestFit="1" customWidth="1"/>
    <col min="50" max="50" width="5.21875" bestFit="1" customWidth="1"/>
    <col min="51" max="51" width="6.6640625" bestFit="1" customWidth="1"/>
    <col min="52" max="52" width="7" bestFit="1" customWidth="1"/>
    <col min="53" max="53" width="6" bestFit="1" customWidth="1"/>
    <col min="54" max="54" width="5.88671875" bestFit="1" customWidth="1"/>
    <col min="55" max="56" width="6" bestFit="1" customWidth="1"/>
    <col min="57" max="57" width="7.6640625" bestFit="1" customWidth="1"/>
    <col min="58" max="58" width="7" bestFit="1" customWidth="1"/>
    <col min="59" max="61" width="6" bestFit="1" customWidth="1"/>
    <col min="62" max="62" width="7.6640625" bestFit="1" customWidth="1"/>
    <col min="63" max="63" width="7" bestFit="1" customWidth="1"/>
    <col min="64" max="66" width="6" bestFit="1" customWidth="1"/>
    <col min="67" max="67" width="7.6640625" bestFit="1" customWidth="1"/>
    <col min="68" max="68" width="7" bestFit="1" customWidth="1"/>
    <col min="69" max="69" width="6" bestFit="1" customWidth="1"/>
    <col min="70" max="70" width="5.88671875" bestFit="1" customWidth="1"/>
    <col min="71" max="71" width="6" bestFit="1" customWidth="1"/>
    <col min="72" max="72" width="7.6640625" bestFit="1" customWidth="1"/>
    <col min="73" max="73" width="7" bestFit="1" customWidth="1"/>
    <col min="74" max="77" width="6" bestFit="1" customWidth="1"/>
    <col min="78" max="78" width="7.6640625" bestFit="1" customWidth="1"/>
    <col min="79" max="82" width="6" bestFit="1" customWidth="1"/>
    <col min="83" max="83" width="7.6640625" bestFit="1" customWidth="1"/>
    <col min="84" max="84" width="7" bestFit="1" customWidth="1"/>
    <col min="85" max="85" width="4.44140625" bestFit="1" customWidth="1"/>
    <col min="86" max="86" width="6" bestFit="1" customWidth="1"/>
    <col min="87" max="87" width="7.6640625" bestFit="1" customWidth="1"/>
    <col min="88" max="88" width="7" bestFit="1" customWidth="1"/>
    <col min="89" max="91" width="6" bestFit="1" customWidth="1"/>
    <col min="92" max="92" width="7.6640625" bestFit="1" customWidth="1"/>
    <col min="93" max="93" width="7" bestFit="1" customWidth="1"/>
    <col min="94" max="94" width="6" bestFit="1" customWidth="1"/>
    <col min="95" max="95" width="5.88671875" bestFit="1" customWidth="1"/>
    <col min="96" max="97" width="6" bestFit="1" customWidth="1"/>
    <col min="98" max="98" width="7.6640625" bestFit="1" customWidth="1"/>
    <col min="99" max="99" width="7" bestFit="1" customWidth="1"/>
    <col min="100" max="100" width="6" bestFit="1" customWidth="1"/>
    <col min="101" max="101" width="5.88671875" bestFit="1" customWidth="1"/>
    <col min="102" max="103" width="6" bestFit="1" customWidth="1"/>
    <col min="104" max="104" width="7.6640625" bestFit="1" customWidth="1"/>
  </cols>
  <sheetData>
    <row r="3" spans="1:6" x14ac:dyDescent="0.3">
      <c r="A3" s="7" t="s">
        <v>84</v>
      </c>
      <c r="B3" s="7" t="s">
        <v>83</v>
      </c>
    </row>
    <row r="4" spans="1:6" x14ac:dyDescent="0.3">
      <c r="A4" s="7" t="s">
        <v>82</v>
      </c>
      <c r="B4" t="s">
        <v>34</v>
      </c>
      <c r="C4" t="s">
        <v>18</v>
      </c>
      <c r="D4" t="s">
        <v>24</v>
      </c>
      <c r="E4" t="s">
        <v>20</v>
      </c>
      <c r="F4" t="s">
        <v>11</v>
      </c>
    </row>
    <row r="5" spans="1:6" x14ac:dyDescent="0.3">
      <c r="A5" s="8" t="s">
        <v>12</v>
      </c>
      <c r="B5" s="6">
        <v>60</v>
      </c>
      <c r="C5" s="6">
        <v>60</v>
      </c>
      <c r="D5" s="6">
        <v>60</v>
      </c>
      <c r="E5" s="6">
        <v>60</v>
      </c>
      <c r="F5" s="6">
        <v>60</v>
      </c>
    </row>
    <row r="6" spans="1:6" x14ac:dyDescent="0.3">
      <c r="A6" s="8" t="s">
        <v>15</v>
      </c>
      <c r="B6" s="6">
        <v>1150</v>
      </c>
      <c r="C6" s="6">
        <v>1150</v>
      </c>
      <c r="D6" s="6">
        <v>1150</v>
      </c>
      <c r="E6" s="6">
        <v>1150</v>
      </c>
      <c r="F6" s="6">
        <v>1150</v>
      </c>
    </row>
    <row r="7" spans="1:6" x14ac:dyDescent="0.3">
      <c r="A7" s="8" t="s">
        <v>21</v>
      </c>
      <c r="B7" s="6">
        <v>12000</v>
      </c>
      <c r="C7" s="6">
        <v>12000</v>
      </c>
      <c r="D7" s="6">
        <v>12000</v>
      </c>
      <c r="E7" s="6">
        <v>12000</v>
      </c>
      <c r="F7" s="6">
        <v>12000</v>
      </c>
    </row>
    <row r="8" spans="1:6" x14ac:dyDescent="0.3">
      <c r="A8" s="8" t="s">
        <v>27</v>
      </c>
      <c r="B8" s="6">
        <v>40000</v>
      </c>
      <c r="C8" s="6">
        <v>40000</v>
      </c>
      <c r="D8" s="6">
        <v>40000</v>
      </c>
      <c r="E8" s="6">
        <v>40000</v>
      </c>
      <c r="F8" s="6">
        <v>40000</v>
      </c>
    </row>
    <row r="9" spans="1:6" x14ac:dyDescent="0.3">
      <c r="A9" s="8" t="s">
        <v>39</v>
      </c>
      <c r="B9" s="6">
        <v>10000</v>
      </c>
      <c r="C9" s="6">
        <v>10000</v>
      </c>
      <c r="D9" s="6">
        <v>10000</v>
      </c>
      <c r="E9" s="6">
        <v>10000</v>
      </c>
      <c r="F9" s="6">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0"/>
  <sheetViews>
    <sheetView tabSelected="1" workbookViewId="0">
      <pane ySplit="1" topLeftCell="A2" activePane="bottomLeft" state="frozen"/>
      <selection activeCell="B1" sqref="B1"/>
      <selection pane="bottomLeft" activeCell="N6" sqref="N6"/>
    </sheetView>
  </sheetViews>
  <sheetFormatPr defaultColWidth="14.44140625" defaultRowHeight="15" customHeight="1" x14ac:dyDescent="0.3"/>
  <cols>
    <col min="1" max="1" width="14.109375" bestFit="1" customWidth="1"/>
    <col min="2" max="2" width="17.44140625" bestFit="1" customWidth="1"/>
    <col min="3" max="3" width="9" bestFit="1" customWidth="1"/>
    <col min="4" max="4" width="18.5546875" bestFit="1" customWidth="1"/>
    <col min="5" max="5" width="8" customWidth="1"/>
    <col min="6" max="6" width="8.109375" bestFit="1" customWidth="1"/>
    <col min="7" max="7" width="10.5546875" bestFit="1" customWidth="1"/>
    <col min="8" max="8" width="17.21875" bestFit="1" customWidth="1"/>
    <col min="9" max="9" width="10.5546875" bestFit="1" customWidth="1"/>
    <col min="10" max="10" width="16.88671875" bestFit="1" customWidth="1"/>
    <col min="11" max="11" width="16.6640625" bestFit="1" customWidth="1"/>
    <col min="12" max="12" width="12.88671875" bestFit="1" customWidth="1"/>
    <col min="13" max="13" width="7.88671875" bestFit="1" customWidth="1"/>
    <col min="14" max="15" width="8.6640625" customWidth="1"/>
    <col min="16" max="16" width="14" bestFit="1" customWidth="1"/>
    <col min="17" max="30" width="8.6640625" customWidth="1"/>
  </cols>
  <sheetData>
    <row r="1" spans="1:30" ht="14.4" x14ac:dyDescent="0.3">
      <c r="A1" s="1" t="s">
        <v>0</v>
      </c>
      <c r="B1" s="1" t="s">
        <v>1</v>
      </c>
      <c r="C1" s="1" t="s">
        <v>2</v>
      </c>
      <c r="D1" s="1" t="s">
        <v>3</v>
      </c>
      <c r="E1" s="1" t="s">
        <v>4</v>
      </c>
      <c r="F1" s="1" t="s">
        <v>77</v>
      </c>
      <c r="G1" s="1" t="s">
        <v>5</v>
      </c>
      <c r="H1" s="1" t="s">
        <v>78</v>
      </c>
      <c r="I1" s="1" t="s">
        <v>6</v>
      </c>
      <c r="J1" s="1" t="s">
        <v>79</v>
      </c>
      <c r="K1" s="1" t="s">
        <v>80</v>
      </c>
      <c r="L1" s="1" t="s">
        <v>7</v>
      </c>
      <c r="M1" s="1" t="s">
        <v>8</v>
      </c>
      <c r="N1" s="1"/>
      <c r="O1" s="1"/>
      <c r="P1" s="4" t="s">
        <v>76</v>
      </c>
      <c r="Q1" s="1"/>
      <c r="R1" s="1"/>
      <c r="S1" s="1"/>
      <c r="T1" s="1"/>
      <c r="U1" s="1"/>
      <c r="V1" s="1"/>
      <c r="W1" s="1"/>
      <c r="X1" s="1"/>
      <c r="Y1" s="1"/>
      <c r="Z1" s="1"/>
      <c r="AA1" s="1"/>
      <c r="AB1" s="1"/>
      <c r="AC1" s="1"/>
      <c r="AD1" s="1"/>
    </row>
    <row r="2" spans="1:30" ht="14.4" x14ac:dyDescent="0.3">
      <c r="A2" s="2" t="s">
        <v>9</v>
      </c>
      <c r="B2" s="2" t="s">
        <v>10</v>
      </c>
      <c r="C2" s="2" t="s">
        <v>11</v>
      </c>
      <c r="D2" s="2" t="s">
        <v>12</v>
      </c>
      <c r="E2" s="2">
        <v>1036.0899999999999</v>
      </c>
      <c r="F2" s="2">
        <v>60</v>
      </c>
      <c r="G2" s="2">
        <v>4</v>
      </c>
      <c r="H2" s="2">
        <f>F2*G2</f>
        <v>240</v>
      </c>
      <c r="I2" s="5">
        <v>0.5</v>
      </c>
      <c r="J2" s="2">
        <f>H2*I2</f>
        <v>120</v>
      </c>
      <c r="K2" s="2">
        <f>H2-J2</f>
        <v>120</v>
      </c>
      <c r="L2" s="3">
        <v>45392</v>
      </c>
      <c r="M2" s="2">
        <v>331.55</v>
      </c>
      <c r="P2">
        <f>SUMIFS($E:$E, $B:$B, B2)</f>
        <v>6255.7</v>
      </c>
    </row>
    <row r="3" spans="1:30" ht="14.4" x14ac:dyDescent="0.3">
      <c r="A3" s="2" t="s">
        <v>13</v>
      </c>
      <c r="B3" s="2" t="s">
        <v>14</v>
      </c>
      <c r="C3" s="2" t="s">
        <v>11</v>
      </c>
      <c r="D3" s="2" t="s">
        <v>15</v>
      </c>
      <c r="E3" s="2">
        <v>1101.28</v>
      </c>
      <c r="F3" s="2">
        <v>1150</v>
      </c>
      <c r="G3" s="2">
        <v>3</v>
      </c>
      <c r="H3" s="2">
        <f>F3*G3</f>
        <v>3450</v>
      </c>
      <c r="I3" s="2">
        <v>0.2</v>
      </c>
      <c r="J3" s="2">
        <f t="shared" ref="J3:J66" si="0">H3*I3</f>
        <v>690</v>
      </c>
      <c r="K3" s="2">
        <f t="shared" ref="K3:K66" si="1">H3-J3</f>
        <v>2760</v>
      </c>
      <c r="L3" s="3">
        <v>45393</v>
      </c>
      <c r="M3" s="2">
        <v>440.51</v>
      </c>
      <c r="P3">
        <f>SUMIFS($E:$E, $B:$B, B3)</f>
        <v>8331.8499999999985</v>
      </c>
    </row>
    <row r="4" spans="1:30" ht="14.4" x14ac:dyDescent="0.3">
      <c r="A4" s="2" t="s">
        <v>16</v>
      </c>
      <c r="B4" s="2" t="s">
        <v>17</v>
      </c>
      <c r="C4" s="2" t="s">
        <v>18</v>
      </c>
      <c r="D4" s="2" t="s">
        <v>12</v>
      </c>
      <c r="E4" s="2">
        <v>713.34</v>
      </c>
      <c r="F4" s="2">
        <v>60</v>
      </c>
      <c r="G4" s="2">
        <v>17</v>
      </c>
      <c r="H4" s="2">
        <f t="shared" ref="H4:H66" si="2">F4*G4</f>
        <v>1020</v>
      </c>
      <c r="I4" s="2">
        <v>0</v>
      </c>
      <c r="J4" s="2">
        <f t="shared" si="0"/>
        <v>0</v>
      </c>
      <c r="K4" s="2">
        <f t="shared" si="1"/>
        <v>1020</v>
      </c>
      <c r="L4" s="3">
        <v>45396</v>
      </c>
      <c r="M4" s="2">
        <v>285.33999999999997</v>
      </c>
      <c r="P4">
        <f>SUMIFS($E:$E, $B:$B, B4)</f>
        <v>5615.2800000000007</v>
      </c>
    </row>
    <row r="5" spans="1:30" ht="14.4" x14ac:dyDescent="0.3">
      <c r="A5" s="2" t="s">
        <v>19</v>
      </c>
      <c r="B5" s="2" t="s">
        <v>14</v>
      </c>
      <c r="C5" s="2" t="s">
        <v>20</v>
      </c>
      <c r="D5" s="2" t="s">
        <v>21</v>
      </c>
      <c r="E5" s="2">
        <v>760.93</v>
      </c>
      <c r="F5" s="2">
        <v>12000</v>
      </c>
      <c r="G5" s="2">
        <v>4</v>
      </c>
      <c r="H5" s="2">
        <f t="shared" si="2"/>
        <v>48000</v>
      </c>
      <c r="I5" s="2">
        <v>0.15</v>
      </c>
      <c r="J5" s="2">
        <f t="shared" si="0"/>
        <v>7200</v>
      </c>
      <c r="K5" s="2">
        <f t="shared" si="1"/>
        <v>40800</v>
      </c>
      <c r="L5" s="3">
        <v>45396</v>
      </c>
      <c r="M5" s="2">
        <v>161.69999999999999</v>
      </c>
      <c r="P5">
        <f>SUMIFS($E:$E, $B:$B, B5)</f>
        <v>8331.8499999999985</v>
      </c>
    </row>
    <row r="6" spans="1:30" ht="14.4" x14ac:dyDescent="0.3">
      <c r="A6" s="2" t="s">
        <v>22</v>
      </c>
      <c r="B6" s="2" t="s">
        <v>23</v>
      </c>
      <c r="C6" s="2" t="s">
        <v>24</v>
      </c>
      <c r="D6" s="2" t="s">
        <v>12</v>
      </c>
      <c r="E6" s="2">
        <v>847</v>
      </c>
      <c r="F6" s="2">
        <v>60</v>
      </c>
      <c r="G6" s="2">
        <v>12</v>
      </c>
      <c r="H6" s="2">
        <f t="shared" si="2"/>
        <v>720</v>
      </c>
      <c r="I6" s="2">
        <v>0.2</v>
      </c>
      <c r="J6" s="2">
        <f t="shared" si="0"/>
        <v>144</v>
      </c>
      <c r="K6" s="2">
        <f t="shared" si="1"/>
        <v>576</v>
      </c>
      <c r="L6" s="3">
        <v>45397</v>
      </c>
      <c r="M6" s="2">
        <v>271.04000000000002</v>
      </c>
      <c r="P6">
        <f>SUMIFS($E:$E, $B:$B, B6)</f>
        <v>20774.739999999998</v>
      </c>
    </row>
    <row r="7" spans="1:30" ht="14.4" x14ac:dyDescent="0.3">
      <c r="A7" s="2" t="s">
        <v>25</v>
      </c>
      <c r="B7" s="2" t="s">
        <v>26</v>
      </c>
      <c r="C7" s="2" t="s">
        <v>24</v>
      </c>
      <c r="D7" s="2" t="s">
        <v>27</v>
      </c>
      <c r="E7" s="2">
        <v>965.64</v>
      </c>
      <c r="F7" s="2">
        <v>40000</v>
      </c>
      <c r="G7" s="2">
        <v>8</v>
      </c>
      <c r="H7" s="2">
        <f t="shared" si="2"/>
        <v>320000</v>
      </c>
      <c r="I7" s="2">
        <v>0.1</v>
      </c>
      <c r="J7" s="2">
        <f t="shared" si="0"/>
        <v>32000</v>
      </c>
      <c r="K7" s="2">
        <f t="shared" si="1"/>
        <v>288000</v>
      </c>
      <c r="L7" s="3">
        <v>45398</v>
      </c>
      <c r="M7" s="2">
        <v>304.18</v>
      </c>
      <c r="P7">
        <f>SUMIFS($E:$E, $B:$B, B7)</f>
        <v>7881.9</v>
      </c>
    </row>
    <row r="8" spans="1:30" ht="14.4" x14ac:dyDescent="0.3">
      <c r="A8" s="2" t="s">
        <v>28</v>
      </c>
      <c r="B8" s="2" t="s">
        <v>29</v>
      </c>
      <c r="C8" s="2" t="s">
        <v>11</v>
      </c>
      <c r="D8" s="2" t="s">
        <v>21</v>
      </c>
      <c r="E8" s="2">
        <v>1317.53</v>
      </c>
      <c r="F8" s="2">
        <v>12000</v>
      </c>
      <c r="G8" s="2">
        <v>12</v>
      </c>
      <c r="H8" s="2">
        <f t="shared" si="2"/>
        <v>144000</v>
      </c>
      <c r="I8" s="2">
        <v>0.05</v>
      </c>
      <c r="J8" s="2">
        <f t="shared" si="0"/>
        <v>7200</v>
      </c>
      <c r="K8" s="2">
        <f t="shared" si="1"/>
        <v>136800</v>
      </c>
      <c r="L8" s="3">
        <v>45398</v>
      </c>
      <c r="M8" s="2">
        <v>312.91000000000003</v>
      </c>
      <c r="P8">
        <f>SUMIFS($E:$E, $B:$B, B8)</f>
        <v>9970.1999999999989</v>
      </c>
    </row>
    <row r="9" spans="1:30" ht="14.4" x14ac:dyDescent="0.3">
      <c r="A9" s="2" t="s">
        <v>30</v>
      </c>
      <c r="B9" s="2" t="s">
        <v>31</v>
      </c>
      <c r="C9" s="2" t="s">
        <v>18</v>
      </c>
      <c r="D9" s="2" t="s">
        <v>27</v>
      </c>
      <c r="E9" s="2">
        <v>1074.47</v>
      </c>
      <c r="F9" s="2">
        <v>40000</v>
      </c>
      <c r="G9" s="2">
        <v>6</v>
      </c>
      <c r="H9" s="2">
        <f t="shared" si="2"/>
        <v>240000</v>
      </c>
      <c r="I9" s="2">
        <v>0.2</v>
      </c>
      <c r="J9" s="2">
        <f t="shared" si="0"/>
        <v>48000</v>
      </c>
      <c r="K9" s="2">
        <f t="shared" si="1"/>
        <v>192000</v>
      </c>
      <c r="L9" s="3">
        <v>45401</v>
      </c>
      <c r="M9" s="2">
        <v>300.85000000000002</v>
      </c>
      <c r="P9">
        <f>SUMIFS($E:$E, $B:$B, B9)</f>
        <v>17143.289999999997</v>
      </c>
    </row>
    <row r="10" spans="1:30" ht="14.4" x14ac:dyDescent="0.3">
      <c r="A10" s="2" t="s">
        <v>32</v>
      </c>
      <c r="B10" s="2" t="s">
        <v>33</v>
      </c>
      <c r="C10" s="2" t="s">
        <v>34</v>
      </c>
      <c r="D10" s="2" t="s">
        <v>12</v>
      </c>
      <c r="E10" s="2">
        <v>501.54</v>
      </c>
      <c r="F10" s="2">
        <v>60</v>
      </c>
      <c r="G10" s="2">
        <v>11</v>
      </c>
      <c r="H10" s="2">
        <f t="shared" si="2"/>
        <v>660</v>
      </c>
      <c r="I10" s="2">
        <v>0.05</v>
      </c>
      <c r="J10" s="2">
        <f t="shared" si="0"/>
        <v>33</v>
      </c>
      <c r="K10" s="2">
        <f t="shared" si="1"/>
        <v>627</v>
      </c>
      <c r="L10" s="3">
        <v>45401</v>
      </c>
      <c r="M10" s="2">
        <v>190.59</v>
      </c>
      <c r="P10">
        <f>SUMIFS($E:$E, $B:$B, B10)</f>
        <v>3968.59</v>
      </c>
    </row>
    <row r="11" spans="1:30" ht="14.4" x14ac:dyDescent="0.3">
      <c r="A11" s="2" t="s">
        <v>35</v>
      </c>
      <c r="B11" s="2" t="s">
        <v>36</v>
      </c>
      <c r="C11" s="2" t="s">
        <v>34</v>
      </c>
      <c r="D11" s="2" t="s">
        <v>15</v>
      </c>
      <c r="E11" s="2">
        <v>737.31</v>
      </c>
      <c r="F11" s="2">
        <v>1150</v>
      </c>
      <c r="G11" s="2">
        <v>2</v>
      </c>
      <c r="H11" s="2">
        <f t="shared" si="2"/>
        <v>2300</v>
      </c>
      <c r="I11" s="2">
        <v>0.05</v>
      </c>
      <c r="J11" s="2">
        <f t="shared" si="0"/>
        <v>115</v>
      </c>
      <c r="K11" s="2">
        <f t="shared" si="1"/>
        <v>2185</v>
      </c>
      <c r="L11" s="3">
        <v>45401</v>
      </c>
      <c r="M11" s="2">
        <v>350.22</v>
      </c>
      <c r="P11">
        <f>SUMIFS($E:$E, $B:$B, B11)</f>
        <v>7020.3799999999992</v>
      </c>
    </row>
    <row r="12" spans="1:30" ht="14.4" x14ac:dyDescent="0.3">
      <c r="A12" s="2" t="s">
        <v>37</v>
      </c>
      <c r="B12" s="2" t="s">
        <v>38</v>
      </c>
      <c r="C12" s="2" t="s">
        <v>11</v>
      </c>
      <c r="D12" s="2" t="s">
        <v>39</v>
      </c>
      <c r="E12" s="2">
        <v>1572.82</v>
      </c>
      <c r="F12" s="2">
        <v>10000</v>
      </c>
      <c r="G12" s="2">
        <v>6</v>
      </c>
      <c r="H12" s="2">
        <f t="shared" si="2"/>
        <v>60000</v>
      </c>
      <c r="I12" s="2">
        <v>0.05</v>
      </c>
      <c r="J12" s="2">
        <f t="shared" si="0"/>
        <v>3000</v>
      </c>
      <c r="K12" s="2">
        <f t="shared" si="1"/>
        <v>57000</v>
      </c>
      <c r="L12" s="3">
        <v>45402</v>
      </c>
      <c r="M12" s="2">
        <v>672.38</v>
      </c>
      <c r="P12">
        <f>SUMIFS($E:$E, $B:$B, B12)</f>
        <v>11398.32</v>
      </c>
    </row>
    <row r="13" spans="1:30" ht="14.4" x14ac:dyDescent="0.3">
      <c r="A13" s="2" t="s">
        <v>37</v>
      </c>
      <c r="B13" s="2" t="s">
        <v>36</v>
      </c>
      <c r="C13" s="2" t="s">
        <v>34</v>
      </c>
      <c r="D13" s="2" t="s">
        <v>12</v>
      </c>
      <c r="E13" s="2">
        <v>1343.13</v>
      </c>
      <c r="F13" s="2">
        <v>60</v>
      </c>
      <c r="G13" s="2">
        <v>14</v>
      </c>
      <c r="H13" s="2">
        <f t="shared" si="2"/>
        <v>840</v>
      </c>
      <c r="I13" s="2">
        <v>0.15</v>
      </c>
      <c r="J13" s="2">
        <f t="shared" si="0"/>
        <v>126</v>
      </c>
      <c r="K13" s="2">
        <f t="shared" si="1"/>
        <v>714</v>
      </c>
      <c r="L13" s="3">
        <v>45404</v>
      </c>
      <c r="M13" s="2">
        <v>456.66</v>
      </c>
      <c r="P13">
        <f>SUMIFS($E:$E, $B:$B, B13)</f>
        <v>7020.3799999999992</v>
      </c>
    </row>
    <row r="14" spans="1:30" ht="14.4" x14ac:dyDescent="0.3">
      <c r="A14" s="2" t="s">
        <v>25</v>
      </c>
      <c r="B14" s="2" t="s">
        <v>26</v>
      </c>
      <c r="C14" s="2" t="s">
        <v>34</v>
      </c>
      <c r="D14" s="2" t="s">
        <v>12</v>
      </c>
      <c r="E14" s="2">
        <v>1191.58</v>
      </c>
      <c r="F14" s="2">
        <v>60</v>
      </c>
      <c r="G14" s="2">
        <v>14</v>
      </c>
      <c r="H14" s="2">
        <f t="shared" si="2"/>
        <v>840</v>
      </c>
      <c r="I14" s="2">
        <v>0.05</v>
      </c>
      <c r="J14" s="2">
        <f t="shared" si="0"/>
        <v>42</v>
      </c>
      <c r="K14" s="2">
        <f t="shared" si="1"/>
        <v>798</v>
      </c>
      <c r="L14" s="3">
        <v>45406</v>
      </c>
      <c r="M14" s="2">
        <v>452.8</v>
      </c>
      <c r="P14">
        <f>SUMIFS($E:$E, $B:$B, B14)</f>
        <v>7881.9</v>
      </c>
    </row>
    <row r="15" spans="1:30" ht="14.4" x14ac:dyDescent="0.3">
      <c r="A15" s="2" t="s">
        <v>40</v>
      </c>
      <c r="B15" s="2" t="s">
        <v>14</v>
      </c>
      <c r="C15" s="2" t="s">
        <v>11</v>
      </c>
      <c r="D15" s="2" t="s">
        <v>27</v>
      </c>
      <c r="E15" s="2">
        <v>822.28</v>
      </c>
      <c r="F15" s="2">
        <v>40000</v>
      </c>
      <c r="G15" s="2">
        <v>7</v>
      </c>
      <c r="H15" s="2">
        <f t="shared" si="2"/>
        <v>280000</v>
      </c>
      <c r="I15" s="2">
        <v>0.05</v>
      </c>
      <c r="J15" s="2">
        <f t="shared" si="0"/>
        <v>14000</v>
      </c>
      <c r="K15" s="2">
        <f t="shared" si="1"/>
        <v>266000</v>
      </c>
      <c r="L15" s="3">
        <v>45406</v>
      </c>
      <c r="M15" s="2">
        <v>273.41000000000003</v>
      </c>
      <c r="P15">
        <f>SUMIFS($E:$E, $B:$B, B15)</f>
        <v>8331.8499999999985</v>
      </c>
    </row>
    <row r="16" spans="1:30" ht="14.4" x14ac:dyDescent="0.3">
      <c r="A16" s="2" t="s">
        <v>41</v>
      </c>
      <c r="B16" s="2" t="s">
        <v>42</v>
      </c>
      <c r="C16" s="2" t="s">
        <v>24</v>
      </c>
      <c r="D16" s="2" t="s">
        <v>27</v>
      </c>
      <c r="E16" s="2">
        <v>521.66999999999996</v>
      </c>
      <c r="F16" s="2">
        <v>40000</v>
      </c>
      <c r="G16" s="2">
        <v>15</v>
      </c>
      <c r="H16" s="2">
        <f t="shared" si="2"/>
        <v>600000</v>
      </c>
      <c r="I16" s="2">
        <v>0.15</v>
      </c>
      <c r="J16" s="2">
        <f t="shared" si="0"/>
        <v>90000</v>
      </c>
      <c r="K16" s="2">
        <f t="shared" si="1"/>
        <v>510000</v>
      </c>
      <c r="L16" s="3">
        <v>45409</v>
      </c>
      <c r="M16" s="2">
        <v>155.19999999999999</v>
      </c>
      <c r="P16">
        <f>SUMIFS($E:$E, $B:$B, B16)</f>
        <v>1672.88</v>
      </c>
    </row>
    <row r="17" spans="1:16" ht="14.4" x14ac:dyDescent="0.3">
      <c r="A17" s="2" t="s">
        <v>19</v>
      </c>
      <c r="B17" s="2" t="s">
        <v>43</v>
      </c>
      <c r="C17" s="2" t="s">
        <v>20</v>
      </c>
      <c r="D17" s="2" t="s">
        <v>21</v>
      </c>
      <c r="E17" s="2">
        <v>1502.93</v>
      </c>
      <c r="F17" s="2">
        <v>12000</v>
      </c>
      <c r="G17" s="2">
        <v>14</v>
      </c>
      <c r="H17" s="2">
        <f t="shared" si="2"/>
        <v>168000</v>
      </c>
      <c r="I17" s="2">
        <v>0.2</v>
      </c>
      <c r="J17" s="2">
        <f t="shared" si="0"/>
        <v>33600</v>
      </c>
      <c r="K17" s="2">
        <f t="shared" si="1"/>
        <v>134400</v>
      </c>
      <c r="L17" s="3">
        <v>45410</v>
      </c>
      <c r="M17" s="2">
        <v>300.58999999999997</v>
      </c>
      <c r="P17">
        <f>SUMIFS($E:$E, $B:$B, B17)</f>
        <v>7296.1900000000005</v>
      </c>
    </row>
    <row r="18" spans="1:16" ht="14.4" x14ac:dyDescent="0.3">
      <c r="A18" s="2" t="s">
        <v>44</v>
      </c>
      <c r="B18" s="2" t="s">
        <v>14</v>
      </c>
      <c r="C18" s="2" t="s">
        <v>20</v>
      </c>
      <c r="D18" s="2" t="s">
        <v>12</v>
      </c>
      <c r="E18" s="2">
        <v>877.58</v>
      </c>
      <c r="F18" s="2">
        <v>60</v>
      </c>
      <c r="G18" s="2">
        <v>10</v>
      </c>
      <c r="H18" s="2">
        <f t="shared" si="2"/>
        <v>600</v>
      </c>
      <c r="I18" s="2">
        <v>0.15</v>
      </c>
      <c r="J18" s="2">
        <f t="shared" si="0"/>
        <v>90</v>
      </c>
      <c r="K18" s="2">
        <f t="shared" si="1"/>
        <v>510</v>
      </c>
      <c r="L18" s="3">
        <v>45411</v>
      </c>
      <c r="M18" s="2">
        <v>298.38</v>
      </c>
      <c r="P18">
        <f>SUMIFS($E:$E, $B:$B, B18)</f>
        <v>8331.8499999999985</v>
      </c>
    </row>
    <row r="19" spans="1:16" ht="14.4" x14ac:dyDescent="0.3">
      <c r="A19" s="2" t="s">
        <v>28</v>
      </c>
      <c r="B19" s="2" t="s">
        <v>45</v>
      </c>
      <c r="C19" s="2" t="s">
        <v>11</v>
      </c>
      <c r="D19" s="2" t="s">
        <v>12</v>
      </c>
      <c r="E19" s="2">
        <v>636.70000000000005</v>
      </c>
      <c r="F19" s="2">
        <v>60</v>
      </c>
      <c r="G19" s="2">
        <v>4</v>
      </c>
      <c r="H19" s="2">
        <f t="shared" si="2"/>
        <v>240</v>
      </c>
      <c r="I19" s="2">
        <v>0.2</v>
      </c>
      <c r="J19" s="2">
        <f t="shared" si="0"/>
        <v>48</v>
      </c>
      <c r="K19" s="2">
        <f t="shared" si="1"/>
        <v>192</v>
      </c>
      <c r="L19" s="3">
        <v>45411</v>
      </c>
      <c r="M19" s="2">
        <v>203.74</v>
      </c>
      <c r="P19">
        <f>SUMIFS($E:$E, $B:$B, B19)</f>
        <v>8635.9500000000007</v>
      </c>
    </row>
    <row r="20" spans="1:16" ht="14.4" x14ac:dyDescent="0.3">
      <c r="A20" s="2" t="s">
        <v>46</v>
      </c>
      <c r="B20" s="2" t="s">
        <v>47</v>
      </c>
      <c r="C20" s="2" t="s">
        <v>11</v>
      </c>
      <c r="D20" s="2" t="s">
        <v>12</v>
      </c>
      <c r="E20" s="2">
        <v>1506.14</v>
      </c>
      <c r="F20" s="2">
        <v>60</v>
      </c>
      <c r="G20" s="2">
        <v>13</v>
      </c>
      <c r="H20" s="2">
        <f t="shared" si="2"/>
        <v>780</v>
      </c>
      <c r="I20" s="2">
        <v>0.2</v>
      </c>
      <c r="J20" s="2">
        <f t="shared" si="0"/>
        <v>156</v>
      </c>
      <c r="K20" s="2">
        <f t="shared" si="1"/>
        <v>624</v>
      </c>
      <c r="L20" s="3">
        <v>45412</v>
      </c>
      <c r="M20" s="2">
        <v>481.96</v>
      </c>
      <c r="P20">
        <f>SUMIFS($E:$E, $B:$B, B20)</f>
        <v>7251.18</v>
      </c>
    </row>
    <row r="21" spans="1:16" ht="15.75" customHeight="1" x14ac:dyDescent="0.3">
      <c r="A21" s="2" t="s">
        <v>30</v>
      </c>
      <c r="B21" s="2" t="s">
        <v>31</v>
      </c>
      <c r="C21" s="2" t="s">
        <v>34</v>
      </c>
      <c r="D21" s="2" t="s">
        <v>21</v>
      </c>
      <c r="E21" s="2">
        <v>645.02</v>
      </c>
      <c r="F21" s="2">
        <v>12000</v>
      </c>
      <c r="G21" s="2">
        <v>4</v>
      </c>
      <c r="H21" s="2">
        <f t="shared" si="2"/>
        <v>48000</v>
      </c>
      <c r="I21" s="2">
        <v>0</v>
      </c>
      <c r="J21" s="2">
        <f t="shared" si="0"/>
        <v>0</v>
      </c>
      <c r="K21" s="2">
        <f t="shared" si="1"/>
        <v>48000</v>
      </c>
      <c r="L21" s="3">
        <v>45414</v>
      </c>
      <c r="M21" s="2">
        <v>161.26</v>
      </c>
      <c r="P21">
        <f>SUMIFS($E:$E, $B:$B, B21)</f>
        <v>17143.289999999997</v>
      </c>
    </row>
    <row r="22" spans="1:16" ht="15.75" customHeight="1" x14ac:dyDescent="0.3">
      <c r="A22" s="2" t="s">
        <v>25</v>
      </c>
      <c r="B22" s="2" t="s">
        <v>48</v>
      </c>
      <c r="C22" s="2" t="s">
        <v>20</v>
      </c>
      <c r="D22" s="2" t="s">
        <v>15</v>
      </c>
      <c r="E22" s="2">
        <v>953.3</v>
      </c>
      <c r="F22" s="2">
        <v>1150</v>
      </c>
      <c r="G22" s="2">
        <v>11</v>
      </c>
      <c r="H22" s="2">
        <f t="shared" si="2"/>
        <v>12650</v>
      </c>
      <c r="I22" s="2">
        <v>0</v>
      </c>
      <c r="J22" s="2">
        <f t="shared" si="0"/>
        <v>0</v>
      </c>
      <c r="K22" s="2">
        <f t="shared" si="1"/>
        <v>12650</v>
      </c>
      <c r="L22" s="3">
        <v>45415</v>
      </c>
      <c r="M22" s="2">
        <v>476.65</v>
      </c>
      <c r="P22">
        <f>SUMIFS($E:$E, $B:$B, B22)</f>
        <v>8090.12</v>
      </c>
    </row>
    <row r="23" spans="1:16" ht="15.75" customHeight="1" x14ac:dyDescent="0.3">
      <c r="A23" s="2" t="s">
        <v>49</v>
      </c>
      <c r="B23" s="2" t="s">
        <v>14</v>
      </c>
      <c r="C23" s="2" t="s">
        <v>24</v>
      </c>
      <c r="D23" s="2" t="s">
        <v>21</v>
      </c>
      <c r="E23" s="2">
        <v>388.56</v>
      </c>
      <c r="F23" s="2">
        <v>12000</v>
      </c>
      <c r="G23" s="2">
        <v>14</v>
      </c>
      <c r="H23" s="2">
        <f t="shared" si="2"/>
        <v>168000</v>
      </c>
      <c r="I23" s="2">
        <v>0.15</v>
      </c>
      <c r="J23" s="2">
        <f t="shared" si="0"/>
        <v>25200</v>
      </c>
      <c r="K23" s="2">
        <f t="shared" si="1"/>
        <v>142800</v>
      </c>
      <c r="L23" s="3">
        <v>45416</v>
      </c>
      <c r="M23" s="2">
        <v>82.57</v>
      </c>
      <c r="P23">
        <f>SUMIFS($E:$E, $B:$B, B23)</f>
        <v>8331.8499999999985</v>
      </c>
    </row>
    <row r="24" spans="1:16" ht="15.75" customHeight="1" x14ac:dyDescent="0.3">
      <c r="A24" s="2" t="s">
        <v>9</v>
      </c>
      <c r="B24" s="2" t="s">
        <v>31</v>
      </c>
      <c r="C24" s="2" t="s">
        <v>11</v>
      </c>
      <c r="D24" s="2" t="s">
        <v>12</v>
      </c>
      <c r="E24" s="2">
        <v>743.17</v>
      </c>
      <c r="F24" s="2">
        <v>60</v>
      </c>
      <c r="G24" s="2">
        <v>9</v>
      </c>
      <c r="H24" s="2">
        <f t="shared" si="2"/>
        <v>540</v>
      </c>
      <c r="I24" s="2">
        <v>0</v>
      </c>
      <c r="J24" s="2">
        <f t="shared" si="0"/>
        <v>0</v>
      </c>
      <c r="K24" s="2">
        <f t="shared" si="1"/>
        <v>540</v>
      </c>
      <c r="L24" s="3">
        <v>45416</v>
      </c>
      <c r="M24" s="2">
        <v>297.27</v>
      </c>
      <c r="P24">
        <f>SUMIFS($E:$E, $B:$B, B24)</f>
        <v>17143.289999999997</v>
      </c>
    </row>
    <row r="25" spans="1:16" ht="15.75" customHeight="1" x14ac:dyDescent="0.3">
      <c r="A25" s="2" t="s">
        <v>40</v>
      </c>
      <c r="B25" s="2" t="s">
        <v>31</v>
      </c>
      <c r="C25" s="2" t="s">
        <v>34</v>
      </c>
      <c r="D25" s="2" t="s">
        <v>21</v>
      </c>
      <c r="E25" s="2">
        <v>706.37</v>
      </c>
      <c r="F25" s="2">
        <v>12000</v>
      </c>
      <c r="G25" s="2">
        <v>6</v>
      </c>
      <c r="H25" s="2">
        <f t="shared" si="2"/>
        <v>72000</v>
      </c>
      <c r="I25" s="2">
        <v>0</v>
      </c>
      <c r="J25" s="2">
        <f t="shared" si="0"/>
        <v>0</v>
      </c>
      <c r="K25" s="2">
        <f t="shared" si="1"/>
        <v>72000</v>
      </c>
      <c r="L25" s="3">
        <v>45416</v>
      </c>
      <c r="M25" s="2">
        <v>176.59</v>
      </c>
      <c r="P25">
        <f>SUMIFS($E:$E, $B:$B, B25)</f>
        <v>17143.289999999997</v>
      </c>
    </row>
    <row r="26" spans="1:16" ht="15.75" customHeight="1" x14ac:dyDescent="0.3">
      <c r="A26" s="2" t="s">
        <v>13</v>
      </c>
      <c r="B26" s="2" t="s">
        <v>31</v>
      </c>
      <c r="C26" s="2" t="s">
        <v>34</v>
      </c>
      <c r="D26" s="2" t="s">
        <v>39</v>
      </c>
      <c r="E26" s="2">
        <v>925.31</v>
      </c>
      <c r="F26" s="2">
        <v>10000</v>
      </c>
      <c r="G26" s="2">
        <v>8</v>
      </c>
      <c r="H26" s="2">
        <f t="shared" si="2"/>
        <v>80000</v>
      </c>
      <c r="I26" s="2">
        <v>0.1</v>
      </c>
      <c r="J26" s="2">
        <f t="shared" si="0"/>
        <v>8000</v>
      </c>
      <c r="K26" s="2">
        <f t="shared" si="1"/>
        <v>72000</v>
      </c>
      <c r="L26" s="3">
        <v>45418</v>
      </c>
      <c r="M26" s="2">
        <v>374.75</v>
      </c>
      <c r="P26">
        <f>SUMIFS($E:$E, $B:$B, B26)</f>
        <v>17143.289999999997</v>
      </c>
    </row>
    <row r="27" spans="1:16" ht="15.75" customHeight="1" x14ac:dyDescent="0.3">
      <c r="A27" s="2" t="s">
        <v>35</v>
      </c>
      <c r="B27" s="2" t="s">
        <v>50</v>
      </c>
      <c r="C27" s="2" t="s">
        <v>20</v>
      </c>
      <c r="D27" s="2" t="s">
        <v>21</v>
      </c>
      <c r="E27" s="2">
        <v>1173.1199999999999</v>
      </c>
      <c r="F27" s="2">
        <v>12000</v>
      </c>
      <c r="G27" s="2">
        <v>18</v>
      </c>
      <c r="H27" s="2">
        <f t="shared" si="2"/>
        <v>216000</v>
      </c>
      <c r="I27" s="2">
        <v>0</v>
      </c>
      <c r="J27" s="2">
        <f t="shared" si="0"/>
        <v>0</v>
      </c>
      <c r="K27" s="2">
        <f t="shared" si="1"/>
        <v>216000</v>
      </c>
      <c r="L27" s="3">
        <v>45418</v>
      </c>
      <c r="M27" s="2">
        <v>293.27999999999997</v>
      </c>
      <c r="P27">
        <f>SUMIFS($E:$E, $B:$B, B27)</f>
        <v>5801.29</v>
      </c>
    </row>
    <row r="28" spans="1:16" ht="15.75" customHeight="1" x14ac:dyDescent="0.3">
      <c r="A28" s="2" t="s">
        <v>22</v>
      </c>
      <c r="B28" s="2" t="s">
        <v>51</v>
      </c>
      <c r="C28" s="2" t="s">
        <v>24</v>
      </c>
      <c r="D28" s="2" t="s">
        <v>27</v>
      </c>
      <c r="E28" s="2">
        <v>675.54</v>
      </c>
      <c r="F28" s="2">
        <v>40000</v>
      </c>
      <c r="G28" s="2">
        <v>17</v>
      </c>
      <c r="H28" s="2">
        <f t="shared" si="2"/>
        <v>680000</v>
      </c>
      <c r="I28" s="2">
        <v>0</v>
      </c>
      <c r="J28" s="2">
        <f t="shared" si="0"/>
        <v>0</v>
      </c>
      <c r="K28" s="2">
        <f t="shared" si="1"/>
        <v>680000</v>
      </c>
      <c r="L28" s="3">
        <v>45420</v>
      </c>
      <c r="M28" s="2">
        <v>236.44</v>
      </c>
      <c r="P28">
        <f>SUMIFS($E:$E, $B:$B, B28)</f>
        <v>1450.99</v>
      </c>
    </row>
    <row r="29" spans="1:16" ht="15.75" customHeight="1" x14ac:dyDescent="0.3">
      <c r="A29" s="2" t="s">
        <v>25</v>
      </c>
      <c r="B29" s="2" t="s">
        <v>14</v>
      </c>
      <c r="C29" s="2" t="s">
        <v>34</v>
      </c>
      <c r="D29" s="2" t="s">
        <v>12</v>
      </c>
      <c r="E29" s="2">
        <v>939.09</v>
      </c>
      <c r="F29" s="2">
        <v>60</v>
      </c>
      <c r="G29" s="2">
        <v>2</v>
      </c>
      <c r="H29" s="2">
        <f t="shared" si="2"/>
        <v>120</v>
      </c>
      <c r="I29" s="2">
        <v>0.05</v>
      </c>
      <c r="J29" s="2">
        <f t="shared" si="0"/>
        <v>6</v>
      </c>
      <c r="K29" s="2">
        <f t="shared" si="1"/>
        <v>114</v>
      </c>
      <c r="L29" s="3">
        <v>45422</v>
      </c>
      <c r="M29" s="2">
        <v>356.85</v>
      </c>
    </row>
    <row r="30" spans="1:16" ht="15.75" customHeight="1" x14ac:dyDescent="0.3">
      <c r="A30" s="2" t="s">
        <v>52</v>
      </c>
      <c r="B30" s="2" t="s">
        <v>53</v>
      </c>
      <c r="C30" s="2" t="s">
        <v>18</v>
      </c>
      <c r="D30" s="2" t="s">
        <v>39</v>
      </c>
      <c r="E30" s="2">
        <v>983.34</v>
      </c>
      <c r="F30" s="2">
        <v>10000</v>
      </c>
      <c r="G30" s="2">
        <v>19</v>
      </c>
      <c r="H30" s="2">
        <f t="shared" si="2"/>
        <v>190000</v>
      </c>
      <c r="I30" s="2">
        <v>0.1</v>
      </c>
      <c r="J30" s="2">
        <f t="shared" si="0"/>
        <v>19000</v>
      </c>
      <c r="K30" s="2">
        <f t="shared" si="1"/>
        <v>171000</v>
      </c>
      <c r="L30" s="3">
        <v>45426</v>
      </c>
      <c r="M30" s="2">
        <v>398.25</v>
      </c>
    </row>
    <row r="31" spans="1:16" ht="15.75" customHeight="1" x14ac:dyDescent="0.3">
      <c r="A31" s="2" t="s">
        <v>52</v>
      </c>
      <c r="B31" s="2" t="s">
        <v>23</v>
      </c>
      <c r="C31" s="2" t="s">
        <v>20</v>
      </c>
      <c r="D31" s="2" t="s">
        <v>21</v>
      </c>
      <c r="E31" s="2">
        <v>801.21</v>
      </c>
      <c r="F31" s="2">
        <v>12000</v>
      </c>
      <c r="G31" s="2">
        <v>3</v>
      </c>
      <c r="H31" s="2">
        <f t="shared" si="2"/>
        <v>36000</v>
      </c>
      <c r="I31" s="2">
        <v>0.2</v>
      </c>
      <c r="J31" s="2">
        <f t="shared" si="0"/>
        <v>7200</v>
      </c>
      <c r="K31" s="2">
        <f t="shared" si="1"/>
        <v>28800</v>
      </c>
      <c r="L31" s="3">
        <v>45426</v>
      </c>
      <c r="M31" s="2">
        <v>160.24</v>
      </c>
    </row>
    <row r="32" spans="1:16" ht="15.75" customHeight="1" x14ac:dyDescent="0.3">
      <c r="A32" s="2" t="s">
        <v>54</v>
      </c>
      <c r="B32" s="2" t="s">
        <v>55</v>
      </c>
      <c r="C32" s="2" t="s">
        <v>24</v>
      </c>
      <c r="D32" s="2" t="s">
        <v>21</v>
      </c>
      <c r="E32" s="2">
        <v>1450.71</v>
      </c>
      <c r="F32" s="2">
        <v>12000</v>
      </c>
      <c r="G32" s="2">
        <v>5</v>
      </c>
      <c r="H32" s="2">
        <f t="shared" si="2"/>
        <v>60000</v>
      </c>
      <c r="I32" s="2">
        <v>0.1</v>
      </c>
      <c r="J32" s="2">
        <f t="shared" si="0"/>
        <v>6000</v>
      </c>
      <c r="K32" s="2">
        <f t="shared" si="1"/>
        <v>54000</v>
      </c>
      <c r="L32" s="3">
        <v>45427</v>
      </c>
      <c r="M32" s="2">
        <v>326.41000000000003</v>
      </c>
    </row>
    <row r="33" spans="1:13" ht="15.75" customHeight="1" x14ac:dyDescent="0.3">
      <c r="A33" s="2" t="s">
        <v>49</v>
      </c>
      <c r="B33" s="2" t="s">
        <v>56</v>
      </c>
      <c r="C33" s="2" t="s">
        <v>34</v>
      </c>
      <c r="D33" s="2" t="s">
        <v>12</v>
      </c>
      <c r="E33" s="2">
        <v>1023.21</v>
      </c>
      <c r="F33" s="2">
        <v>60</v>
      </c>
      <c r="G33" s="2">
        <v>18</v>
      </c>
      <c r="H33" s="2">
        <f t="shared" si="2"/>
        <v>1080</v>
      </c>
      <c r="I33" s="2">
        <v>0.05</v>
      </c>
      <c r="J33" s="2">
        <f t="shared" si="0"/>
        <v>54</v>
      </c>
      <c r="K33" s="2">
        <f t="shared" si="1"/>
        <v>1026</v>
      </c>
      <c r="L33" s="3">
        <v>45428</v>
      </c>
      <c r="M33" s="2">
        <v>388.82</v>
      </c>
    </row>
    <row r="34" spans="1:13" ht="15.75" customHeight="1" x14ac:dyDescent="0.3">
      <c r="A34" s="2" t="s">
        <v>28</v>
      </c>
      <c r="B34" s="2" t="s">
        <v>47</v>
      </c>
      <c r="C34" s="2" t="s">
        <v>11</v>
      </c>
      <c r="D34" s="2" t="s">
        <v>27</v>
      </c>
      <c r="E34" s="2">
        <v>853.72</v>
      </c>
      <c r="F34" s="2">
        <v>40000</v>
      </c>
      <c r="G34" s="2">
        <v>5</v>
      </c>
      <c r="H34" s="2">
        <f t="shared" si="2"/>
        <v>200000</v>
      </c>
      <c r="I34" s="2">
        <v>0.15</v>
      </c>
      <c r="J34" s="2">
        <f t="shared" si="0"/>
        <v>30000</v>
      </c>
      <c r="K34" s="2">
        <f t="shared" si="1"/>
        <v>170000</v>
      </c>
      <c r="L34" s="3">
        <v>45428</v>
      </c>
      <c r="M34" s="2">
        <v>253.98</v>
      </c>
    </row>
    <row r="35" spans="1:13" ht="15.75" customHeight="1" x14ac:dyDescent="0.3">
      <c r="A35" s="2" t="s">
        <v>57</v>
      </c>
      <c r="B35" s="2" t="s">
        <v>43</v>
      </c>
      <c r="C35" s="2" t="s">
        <v>20</v>
      </c>
      <c r="D35" s="2" t="s">
        <v>21</v>
      </c>
      <c r="E35" s="2">
        <v>967.89</v>
      </c>
      <c r="F35" s="2">
        <v>12000</v>
      </c>
      <c r="G35" s="2">
        <v>10</v>
      </c>
      <c r="H35" s="2">
        <f t="shared" si="2"/>
        <v>120000</v>
      </c>
      <c r="I35" s="2">
        <v>0.1</v>
      </c>
      <c r="J35" s="2">
        <f t="shared" si="0"/>
        <v>12000</v>
      </c>
      <c r="K35" s="2">
        <f t="shared" si="1"/>
        <v>108000</v>
      </c>
      <c r="L35" s="3">
        <v>45429</v>
      </c>
      <c r="M35" s="2">
        <v>217.78</v>
      </c>
    </row>
    <row r="36" spans="1:13" ht="15.75" customHeight="1" x14ac:dyDescent="0.3">
      <c r="A36" s="2" t="s">
        <v>58</v>
      </c>
      <c r="B36" s="2" t="s">
        <v>53</v>
      </c>
      <c r="C36" s="2" t="s">
        <v>24</v>
      </c>
      <c r="D36" s="2" t="s">
        <v>39</v>
      </c>
      <c r="E36" s="2">
        <v>1200.9000000000001</v>
      </c>
      <c r="F36" s="2">
        <v>10000</v>
      </c>
      <c r="G36" s="2">
        <v>14</v>
      </c>
      <c r="H36" s="2">
        <f t="shared" si="2"/>
        <v>140000</v>
      </c>
      <c r="I36" s="2">
        <v>0.05</v>
      </c>
      <c r="J36" s="2">
        <f t="shared" si="0"/>
        <v>7000</v>
      </c>
      <c r="K36" s="2">
        <f t="shared" si="1"/>
        <v>133000</v>
      </c>
      <c r="L36" s="3">
        <v>45429</v>
      </c>
      <c r="M36" s="2">
        <v>513.38</v>
      </c>
    </row>
    <row r="37" spans="1:13" ht="15.75" customHeight="1" x14ac:dyDescent="0.3">
      <c r="A37" s="2" t="s">
        <v>13</v>
      </c>
      <c r="B37" s="2" t="s">
        <v>26</v>
      </c>
      <c r="C37" s="2" t="s">
        <v>11</v>
      </c>
      <c r="D37" s="2" t="s">
        <v>12</v>
      </c>
      <c r="E37" s="2">
        <v>472.38</v>
      </c>
      <c r="F37" s="2">
        <v>60</v>
      </c>
      <c r="G37" s="2">
        <v>12</v>
      </c>
      <c r="H37" s="2">
        <f t="shared" si="2"/>
        <v>720</v>
      </c>
      <c r="I37" s="2">
        <v>0.2</v>
      </c>
      <c r="J37" s="2">
        <f t="shared" si="0"/>
        <v>144</v>
      </c>
      <c r="K37" s="2">
        <f t="shared" si="1"/>
        <v>576</v>
      </c>
      <c r="L37" s="3">
        <v>45429</v>
      </c>
      <c r="M37" s="2">
        <v>151.16</v>
      </c>
    </row>
    <row r="38" spans="1:13" ht="15.75" customHeight="1" x14ac:dyDescent="0.3">
      <c r="A38" s="2" t="s">
        <v>9</v>
      </c>
      <c r="B38" s="2" t="s">
        <v>55</v>
      </c>
      <c r="C38" s="2" t="s">
        <v>18</v>
      </c>
      <c r="D38" s="2" t="s">
        <v>39</v>
      </c>
      <c r="E38" s="2">
        <v>840.92</v>
      </c>
      <c r="F38" s="2">
        <v>10000</v>
      </c>
      <c r="G38" s="2">
        <v>9</v>
      </c>
      <c r="H38" s="2">
        <f t="shared" si="2"/>
        <v>90000</v>
      </c>
      <c r="I38" s="2">
        <v>0.05</v>
      </c>
      <c r="J38" s="2">
        <f t="shared" si="0"/>
        <v>4500</v>
      </c>
      <c r="K38" s="2">
        <f t="shared" si="1"/>
        <v>85500</v>
      </c>
      <c r="L38" s="3">
        <v>45429</v>
      </c>
      <c r="M38" s="2">
        <v>359.49</v>
      </c>
    </row>
    <row r="39" spans="1:13" ht="15.75" customHeight="1" x14ac:dyDescent="0.3">
      <c r="A39" s="2" t="s">
        <v>52</v>
      </c>
      <c r="B39" s="2" t="s">
        <v>48</v>
      </c>
      <c r="C39" s="2" t="s">
        <v>34</v>
      </c>
      <c r="D39" s="2" t="s">
        <v>27</v>
      </c>
      <c r="E39" s="2">
        <v>1410.06</v>
      </c>
      <c r="F39" s="2">
        <v>40000</v>
      </c>
      <c r="G39" s="2">
        <v>11</v>
      </c>
      <c r="H39" s="2">
        <f t="shared" si="2"/>
        <v>440000</v>
      </c>
      <c r="I39" s="2">
        <v>0.05</v>
      </c>
      <c r="J39" s="2">
        <f t="shared" si="0"/>
        <v>22000</v>
      </c>
      <c r="K39" s="2">
        <f t="shared" si="1"/>
        <v>418000</v>
      </c>
      <c r="L39" s="3">
        <v>45434</v>
      </c>
      <c r="M39" s="2">
        <v>468.84</v>
      </c>
    </row>
    <row r="40" spans="1:13" ht="15.75" customHeight="1" x14ac:dyDescent="0.3">
      <c r="A40" s="2" t="s">
        <v>44</v>
      </c>
      <c r="B40" s="2" t="s">
        <v>59</v>
      </c>
      <c r="C40" s="2" t="s">
        <v>34</v>
      </c>
      <c r="D40" s="2" t="s">
        <v>27</v>
      </c>
      <c r="E40" s="2">
        <v>773.09</v>
      </c>
      <c r="F40" s="2">
        <v>40000</v>
      </c>
      <c r="G40" s="2">
        <v>13</v>
      </c>
      <c r="H40" s="2">
        <f t="shared" si="2"/>
        <v>520000</v>
      </c>
      <c r="I40" s="2">
        <v>0.15</v>
      </c>
      <c r="J40" s="2">
        <f t="shared" si="0"/>
        <v>78000</v>
      </c>
      <c r="K40" s="2">
        <f t="shared" si="1"/>
        <v>442000</v>
      </c>
      <c r="L40" s="3">
        <v>45434</v>
      </c>
      <c r="M40" s="2">
        <v>229.99</v>
      </c>
    </row>
    <row r="41" spans="1:13" ht="15.75" customHeight="1" x14ac:dyDescent="0.3">
      <c r="A41" s="2" t="s">
        <v>60</v>
      </c>
      <c r="B41" s="2" t="s">
        <v>61</v>
      </c>
      <c r="C41" s="2" t="s">
        <v>18</v>
      </c>
      <c r="D41" s="2" t="s">
        <v>12</v>
      </c>
      <c r="E41" s="2">
        <v>580.42999999999995</v>
      </c>
      <c r="F41" s="2">
        <v>60</v>
      </c>
      <c r="G41" s="2">
        <v>19</v>
      </c>
      <c r="H41" s="2">
        <f t="shared" si="2"/>
        <v>1140</v>
      </c>
      <c r="I41" s="2">
        <v>0.15</v>
      </c>
      <c r="J41" s="2">
        <f t="shared" si="0"/>
        <v>171</v>
      </c>
      <c r="K41" s="2">
        <f t="shared" si="1"/>
        <v>969</v>
      </c>
      <c r="L41" s="3">
        <v>45435</v>
      </c>
      <c r="M41" s="2">
        <v>197.35</v>
      </c>
    </row>
    <row r="42" spans="1:13" ht="15.75" customHeight="1" x14ac:dyDescent="0.3">
      <c r="A42" s="2" t="s">
        <v>19</v>
      </c>
      <c r="B42" s="2" t="s">
        <v>42</v>
      </c>
      <c r="C42" s="2" t="s">
        <v>20</v>
      </c>
      <c r="D42" s="2" t="s">
        <v>12</v>
      </c>
      <c r="E42" s="2">
        <v>1151.21</v>
      </c>
      <c r="F42" s="2">
        <v>60</v>
      </c>
      <c r="G42" s="2">
        <v>15</v>
      </c>
      <c r="H42" s="2">
        <f t="shared" si="2"/>
        <v>900</v>
      </c>
      <c r="I42" s="2">
        <v>0.1</v>
      </c>
      <c r="J42" s="2">
        <f t="shared" si="0"/>
        <v>90</v>
      </c>
      <c r="K42" s="2">
        <f t="shared" si="1"/>
        <v>810</v>
      </c>
      <c r="L42" s="3">
        <v>45445</v>
      </c>
      <c r="M42" s="2">
        <v>414.44</v>
      </c>
    </row>
    <row r="43" spans="1:13" ht="15.75" customHeight="1" x14ac:dyDescent="0.3">
      <c r="A43" s="2" t="s">
        <v>52</v>
      </c>
      <c r="B43" s="2" t="s">
        <v>23</v>
      </c>
      <c r="C43" s="2" t="s">
        <v>34</v>
      </c>
      <c r="D43" s="2" t="s">
        <v>39</v>
      </c>
      <c r="E43" s="2">
        <v>1025.98</v>
      </c>
      <c r="F43" s="2">
        <v>10000</v>
      </c>
      <c r="G43" s="2">
        <v>5</v>
      </c>
      <c r="H43" s="2">
        <f t="shared" si="2"/>
        <v>50000</v>
      </c>
      <c r="I43" s="2">
        <v>0.2</v>
      </c>
      <c r="J43" s="2">
        <f t="shared" si="0"/>
        <v>10000</v>
      </c>
      <c r="K43" s="2">
        <f t="shared" si="1"/>
        <v>40000</v>
      </c>
      <c r="L43" s="3">
        <v>45447</v>
      </c>
      <c r="M43" s="2">
        <v>369.35</v>
      </c>
    </row>
    <row r="44" spans="1:13" ht="15.75" customHeight="1" x14ac:dyDescent="0.3">
      <c r="A44" s="2" t="s">
        <v>40</v>
      </c>
      <c r="B44" s="2" t="s">
        <v>56</v>
      </c>
      <c r="C44" s="2" t="s">
        <v>18</v>
      </c>
      <c r="D44" s="2" t="s">
        <v>39</v>
      </c>
      <c r="E44" s="2">
        <v>556.41999999999996</v>
      </c>
      <c r="F44" s="2">
        <v>10000</v>
      </c>
      <c r="G44" s="2">
        <v>11</v>
      </c>
      <c r="H44" s="2">
        <f t="shared" si="2"/>
        <v>110000</v>
      </c>
      <c r="I44" s="2">
        <v>0.15</v>
      </c>
      <c r="J44" s="2">
        <f t="shared" si="0"/>
        <v>16500</v>
      </c>
      <c r="K44" s="2">
        <f t="shared" si="1"/>
        <v>93500</v>
      </c>
      <c r="L44" s="3">
        <v>45447</v>
      </c>
      <c r="M44" s="2">
        <v>212.83</v>
      </c>
    </row>
    <row r="45" spans="1:13" ht="15.75" customHeight="1" x14ac:dyDescent="0.3">
      <c r="A45" s="2" t="s">
        <v>57</v>
      </c>
      <c r="B45" s="2" t="s">
        <v>23</v>
      </c>
      <c r="C45" s="2" t="s">
        <v>34</v>
      </c>
      <c r="D45" s="2" t="s">
        <v>12</v>
      </c>
      <c r="E45" s="2">
        <v>840.85</v>
      </c>
      <c r="F45" s="2">
        <v>60</v>
      </c>
      <c r="G45" s="2">
        <v>19</v>
      </c>
      <c r="H45" s="2">
        <f t="shared" si="2"/>
        <v>1140</v>
      </c>
      <c r="I45" s="2">
        <v>0.1</v>
      </c>
      <c r="J45" s="2">
        <f t="shared" si="0"/>
        <v>114</v>
      </c>
      <c r="K45" s="2">
        <f t="shared" si="1"/>
        <v>1026</v>
      </c>
      <c r="L45" s="3">
        <v>45448</v>
      </c>
      <c r="M45" s="2">
        <v>302.70999999999998</v>
      </c>
    </row>
    <row r="46" spans="1:13" ht="15.75" customHeight="1" x14ac:dyDescent="0.3">
      <c r="A46" s="2" t="s">
        <v>30</v>
      </c>
      <c r="B46" s="2" t="s">
        <v>61</v>
      </c>
      <c r="C46" s="2" t="s">
        <v>24</v>
      </c>
      <c r="D46" s="2" t="s">
        <v>27</v>
      </c>
      <c r="E46" s="2">
        <v>1227.25</v>
      </c>
      <c r="F46" s="2">
        <v>40000</v>
      </c>
      <c r="G46" s="2">
        <v>12</v>
      </c>
      <c r="H46" s="2">
        <f t="shared" si="2"/>
        <v>480000</v>
      </c>
      <c r="I46" s="2">
        <v>0.15</v>
      </c>
      <c r="J46" s="2">
        <f t="shared" si="0"/>
        <v>72000</v>
      </c>
      <c r="K46" s="2">
        <f t="shared" si="1"/>
        <v>408000</v>
      </c>
      <c r="L46" s="3">
        <v>45448</v>
      </c>
      <c r="M46" s="2">
        <v>365.11</v>
      </c>
    </row>
    <row r="47" spans="1:13" ht="15.75" customHeight="1" x14ac:dyDescent="0.3">
      <c r="A47" s="2" t="s">
        <v>16</v>
      </c>
      <c r="B47" s="2" t="s">
        <v>62</v>
      </c>
      <c r="C47" s="2" t="s">
        <v>34</v>
      </c>
      <c r="D47" s="2" t="s">
        <v>21</v>
      </c>
      <c r="E47" s="2">
        <v>856.7</v>
      </c>
      <c r="F47" s="2">
        <v>12000</v>
      </c>
      <c r="G47" s="2">
        <v>2</v>
      </c>
      <c r="H47" s="2">
        <f t="shared" si="2"/>
        <v>24000</v>
      </c>
      <c r="I47" s="2">
        <v>0</v>
      </c>
      <c r="J47" s="2">
        <f t="shared" si="0"/>
        <v>0</v>
      </c>
      <c r="K47" s="2">
        <f t="shared" si="1"/>
        <v>24000</v>
      </c>
      <c r="L47" s="3">
        <v>45449</v>
      </c>
      <c r="M47" s="2">
        <v>214.18</v>
      </c>
    </row>
    <row r="48" spans="1:13" ht="15.75" customHeight="1" x14ac:dyDescent="0.3">
      <c r="A48" s="2" t="s">
        <v>54</v>
      </c>
      <c r="B48" s="2" t="s">
        <v>56</v>
      </c>
      <c r="C48" s="2" t="s">
        <v>34</v>
      </c>
      <c r="D48" s="2" t="s">
        <v>39</v>
      </c>
      <c r="E48" s="2">
        <v>1225.42</v>
      </c>
      <c r="F48" s="2">
        <v>10000</v>
      </c>
      <c r="G48" s="2">
        <v>8</v>
      </c>
      <c r="H48" s="2">
        <f t="shared" si="2"/>
        <v>80000</v>
      </c>
      <c r="I48" s="2">
        <v>0.15</v>
      </c>
      <c r="J48" s="2">
        <f t="shared" si="0"/>
        <v>12000</v>
      </c>
      <c r="K48" s="2">
        <f t="shared" si="1"/>
        <v>68000</v>
      </c>
      <c r="L48" s="3">
        <v>45449</v>
      </c>
      <c r="M48" s="2">
        <v>468.72</v>
      </c>
    </row>
    <row r="49" spans="1:13" ht="15.75" customHeight="1" x14ac:dyDescent="0.3">
      <c r="A49" s="2" t="s">
        <v>63</v>
      </c>
      <c r="B49" s="2" t="s">
        <v>31</v>
      </c>
      <c r="C49" s="2" t="s">
        <v>24</v>
      </c>
      <c r="D49" s="2" t="s">
        <v>39</v>
      </c>
      <c r="E49" s="2">
        <v>1001.57</v>
      </c>
      <c r="F49" s="2">
        <v>10000</v>
      </c>
      <c r="G49" s="2">
        <v>12</v>
      </c>
      <c r="H49" s="2">
        <f t="shared" si="2"/>
        <v>120000</v>
      </c>
      <c r="I49" s="2">
        <v>0</v>
      </c>
      <c r="J49" s="2">
        <f t="shared" si="0"/>
        <v>0</v>
      </c>
      <c r="K49" s="2">
        <f t="shared" si="1"/>
        <v>120000</v>
      </c>
      <c r="L49" s="3">
        <v>45450</v>
      </c>
      <c r="M49" s="2">
        <v>450.71</v>
      </c>
    </row>
    <row r="50" spans="1:13" ht="15.75" customHeight="1" x14ac:dyDescent="0.3">
      <c r="A50" s="2" t="s">
        <v>57</v>
      </c>
      <c r="B50" s="2" t="s">
        <v>26</v>
      </c>
      <c r="C50" s="2" t="s">
        <v>18</v>
      </c>
      <c r="D50" s="2" t="s">
        <v>27</v>
      </c>
      <c r="E50" s="2">
        <v>1186.8499999999999</v>
      </c>
      <c r="F50" s="2">
        <v>40000</v>
      </c>
      <c r="G50" s="2">
        <v>19</v>
      </c>
      <c r="H50" s="2">
        <f t="shared" si="2"/>
        <v>760000</v>
      </c>
      <c r="I50" s="2">
        <v>0.2</v>
      </c>
      <c r="J50" s="2">
        <f t="shared" si="0"/>
        <v>152000</v>
      </c>
      <c r="K50" s="2">
        <f t="shared" si="1"/>
        <v>608000</v>
      </c>
      <c r="L50" s="3">
        <v>45451</v>
      </c>
      <c r="M50" s="2">
        <v>332.32</v>
      </c>
    </row>
    <row r="51" spans="1:13" ht="15.75" customHeight="1" x14ac:dyDescent="0.3">
      <c r="A51" s="2" t="s">
        <v>44</v>
      </c>
      <c r="B51" s="2" t="s">
        <v>51</v>
      </c>
      <c r="C51" s="2" t="s">
        <v>20</v>
      </c>
      <c r="D51" s="2" t="s">
        <v>21</v>
      </c>
      <c r="E51" s="2">
        <v>775.45</v>
      </c>
      <c r="F51" s="2">
        <v>12000</v>
      </c>
      <c r="G51" s="2">
        <v>6</v>
      </c>
      <c r="H51" s="2">
        <f t="shared" si="2"/>
        <v>72000</v>
      </c>
      <c r="I51" s="2">
        <v>0.1</v>
      </c>
      <c r="J51" s="2">
        <f t="shared" si="0"/>
        <v>7200</v>
      </c>
      <c r="K51" s="2">
        <f t="shared" si="1"/>
        <v>64800</v>
      </c>
      <c r="L51" s="3">
        <v>45457</v>
      </c>
      <c r="M51" s="2">
        <v>174.48</v>
      </c>
    </row>
    <row r="52" spans="1:13" ht="15.75" customHeight="1" x14ac:dyDescent="0.3">
      <c r="A52" s="2" t="s">
        <v>25</v>
      </c>
      <c r="B52" s="2" t="s">
        <v>33</v>
      </c>
      <c r="C52" s="2" t="s">
        <v>20</v>
      </c>
      <c r="D52" s="2" t="s">
        <v>21</v>
      </c>
      <c r="E52" s="2">
        <v>1021.47</v>
      </c>
      <c r="F52" s="2">
        <v>12000</v>
      </c>
      <c r="G52" s="2">
        <v>6</v>
      </c>
      <c r="H52" s="2">
        <f t="shared" si="2"/>
        <v>72000</v>
      </c>
      <c r="I52" s="2">
        <v>0.05</v>
      </c>
      <c r="J52" s="2">
        <f t="shared" si="0"/>
        <v>3600</v>
      </c>
      <c r="K52" s="2">
        <f t="shared" si="1"/>
        <v>68400</v>
      </c>
      <c r="L52" s="3">
        <v>45461</v>
      </c>
      <c r="M52" s="2">
        <v>242.6</v>
      </c>
    </row>
    <row r="53" spans="1:13" ht="15.75" customHeight="1" x14ac:dyDescent="0.3">
      <c r="A53" s="2" t="s">
        <v>58</v>
      </c>
      <c r="B53" s="2" t="s">
        <v>23</v>
      </c>
      <c r="C53" s="2" t="s">
        <v>20</v>
      </c>
      <c r="D53" s="2" t="s">
        <v>15</v>
      </c>
      <c r="E53" s="2">
        <v>1226.6199999999999</v>
      </c>
      <c r="F53" s="2">
        <v>1150</v>
      </c>
      <c r="G53" s="2">
        <v>7</v>
      </c>
      <c r="H53" s="2">
        <f t="shared" si="2"/>
        <v>8050</v>
      </c>
      <c r="I53" s="2">
        <v>0.1</v>
      </c>
      <c r="J53" s="2">
        <f t="shared" si="0"/>
        <v>805</v>
      </c>
      <c r="K53" s="2">
        <f t="shared" si="1"/>
        <v>7245</v>
      </c>
      <c r="L53" s="3">
        <v>45463</v>
      </c>
      <c r="M53" s="2">
        <v>551.98</v>
      </c>
    </row>
    <row r="54" spans="1:13" ht="15.75" customHeight="1" x14ac:dyDescent="0.3">
      <c r="A54" s="2" t="s">
        <v>22</v>
      </c>
      <c r="B54" s="2" t="s">
        <v>64</v>
      </c>
      <c r="C54" s="2" t="s">
        <v>20</v>
      </c>
      <c r="D54" s="2" t="s">
        <v>27</v>
      </c>
      <c r="E54" s="2">
        <v>1086.93</v>
      </c>
      <c r="F54" s="2">
        <v>40000</v>
      </c>
      <c r="G54" s="2">
        <v>2</v>
      </c>
      <c r="H54" s="2">
        <f t="shared" si="2"/>
        <v>80000</v>
      </c>
      <c r="I54" s="2">
        <v>0</v>
      </c>
      <c r="J54" s="2">
        <f t="shared" si="0"/>
        <v>0</v>
      </c>
      <c r="K54" s="2">
        <f t="shared" si="1"/>
        <v>80000</v>
      </c>
      <c r="L54" s="3">
        <v>45464</v>
      </c>
      <c r="M54" s="2">
        <v>380.43</v>
      </c>
    </row>
    <row r="55" spans="1:13" ht="15.75" customHeight="1" x14ac:dyDescent="0.3">
      <c r="A55" s="2" t="s">
        <v>65</v>
      </c>
      <c r="B55" s="2" t="s">
        <v>48</v>
      </c>
      <c r="C55" s="2" t="s">
        <v>11</v>
      </c>
      <c r="D55" s="2" t="s">
        <v>12</v>
      </c>
      <c r="E55" s="2">
        <v>942.9</v>
      </c>
      <c r="F55" s="2">
        <v>60</v>
      </c>
      <c r="G55" s="2">
        <v>18</v>
      </c>
      <c r="H55" s="2">
        <f t="shared" si="2"/>
        <v>1080</v>
      </c>
      <c r="I55" s="2">
        <v>0.1</v>
      </c>
      <c r="J55" s="2">
        <f t="shared" si="0"/>
        <v>108</v>
      </c>
      <c r="K55" s="2">
        <f t="shared" si="1"/>
        <v>972</v>
      </c>
      <c r="L55" s="3">
        <v>45466</v>
      </c>
      <c r="M55" s="2">
        <v>339.44</v>
      </c>
    </row>
    <row r="56" spans="1:13" ht="15.75" customHeight="1" x14ac:dyDescent="0.3">
      <c r="A56" s="2" t="s">
        <v>32</v>
      </c>
      <c r="B56" s="2" t="s">
        <v>38</v>
      </c>
      <c r="C56" s="2" t="s">
        <v>24</v>
      </c>
      <c r="D56" s="2" t="s">
        <v>21</v>
      </c>
      <c r="E56" s="2">
        <v>818.8</v>
      </c>
      <c r="F56" s="2">
        <v>12000</v>
      </c>
      <c r="G56" s="2">
        <v>15</v>
      </c>
      <c r="H56" s="2">
        <f t="shared" si="2"/>
        <v>180000</v>
      </c>
      <c r="I56" s="2">
        <v>0.15</v>
      </c>
      <c r="J56" s="2">
        <f t="shared" si="0"/>
        <v>27000</v>
      </c>
      <c r="K56" s="2">
        <f t="shared" si="1"/>
        <v>153000</v>
      </c>
      <c r="L56" s="3">
        <v>45468</v>
      </c>
      <c r="M56" s="2">
        <v>173.99</v>
      </c>
    </row>
    <row r="57" spans="1:13" ht="15.75" customHeight="1" x14ac:dyDescent="0.3">
      <c r="A57" s="2" t="s">
        <v>19</v>
      </c>
      <c r="B57" s="2" t="s">
        <v>14</v>
      </c>
      <c r="C57" s="2" t="s">
        <v>20</v>
      </c>
      <c r="D57" s="2" t="s">
        <v>27</v>
      </c>
      <c r="E57" s="2">
        <v>919.04</v>
      </c>
      <c r="F57" s="2">
        <v>40000</v>
      </c>
      <c r="G57" s="2">
        <v>10</v>
      </c>
      <c r="H57" s="2">
        <f t="shared" si="2"/>
        <v>400000</v>
      </c>
      <c r="I57" s="2">
        <v>0.2</v>
      </c>
      <c r="J57" s="2">
        <f t="shared" si="0"/>
        <v>80000</v>
      </c>
      <c r="K57" s="2">
        <f t="shared" si="1"/>
        <v>320000</v>
      </c>
      <c r="L57" s="3">
        <v>45468</v>
      </c>
      <c r="M57" s="2">
        <v>257.33</v>
      </c>
    </row>
    <row r="58" spans="1:13" ht="15.75" customHeight="1" x14ac:dyDescent="0.3">
      <c r="A58" s="2" t="s">
        <v>22</v>
      </c>
      <c r="B58" s="2" t="s">
        <v>66</v>
      </c>
      <c r="C58" s="2" t="s">
        <v>34</v>
      </c>
      <c r="D58" s="2" t="s">
        <v>12</v>
      </c>
      <c r="E58" s="2">
        <v>973.26</v>
      </c>
      <c r="F58" s="2">
        <v>60</v>
      </c>
      <c r="G58" s="2">
        <v>11</v>
      </c>
      <c r="H58" s="2">
        <f t="shared" si="2"/>
        <v>660</v>
      </c>
      <c r="I58" s="2">
        <v>0</v>
      </c>
      <c r="J58" s="2">
        <f t="shared" si="0"/>
        <v>0</v>
      </c>
      <c r="K58" s="2">
        <f t="shared" si="1"/>
        <v>660</v>
      </c>
      <c r="L58" s="3">
        <v>45470</v>
      </c>
      <c r="M58" s="2">
        <v>389.3</v>
      </c>
    </row>
    <row r="59" spans="1:13" ht="15.75" customHeight="1" x14ac:dyDescent="0.3">
      <c r="A59" s="2" t="s">
        <v>41</v>
      </c>
      <c r="B59" s="2" t="s">
        <v>64</v>
      </c>
      <c r="C59" s="2" t="s">
        <v>24</v>
      </c>
      <c r="D59" s="2" t="s">
        <v>21</v>
      </c>
      <c r="E59" s="2">
        <v>741.61</v>
      </c>
      <c r="F59" s="2">
        <v>12000</v>
      </c>
      <c r="G59" s="2">
        <v>1</v>
      </c>
      <c r="H59" s="2">
        <f t="shared" si="2"/>
        <v>12000</v>
      </c>
      <c r="I59" s="2">
        <v>0.2</v>
      </c>
      <c r="J59" s="2">
        <f t="shared" si="0"/>
        <v>2400</v>
      </c>
      <c r="K59" s="2">
        <f t="shared" si="1"/>
        <v>9600</v>
      </c>
      <c r="L59" s="3">
        <v>45471</v>
      </c>
      <c r="M59" s="2">
        <v>148.32</v>
      </c>
    </row>
    <row r="60" spans="1:13" ht="15.75" customHeight="1" x14ac:dyDescent="0.3">
      <c r="A60" s="2" t="s">
        <v>67</v>
      </c>
      <c r="B60" s="2" t="s">
        <v>38</v>
      </c>
      <c r="C60" s="2" t="s">
        <v>24</v>
      </c>
      <c r="D60" s="2" t="s">
        <v>12</v>
      </c>
      <c r="E60" s="2">
        <v>1248.82</v>
      </c>
      <c r="F60" s="2">
        <v>60</v>
      </c>
      <c r="G60" s="2">
        <v>2</v>
      </c>
      <c r="H60" s="2">
        <f t="shared" si="2"/>
        <v>120</v>
      </c>
      <c r="I60" s="2">
        <v>0.1</v>
      </c>
      <c r="J60" s="2">
        <f t="shared" si="0"/>
        <v>12</v>
      </c>
      <c r="K60" s="2">
        <f t="shared" si="1"/>
        <v>108</v>
      </c>
      <c r="L60" s="3">
        <v>45473</v>
      </c>
      <c r="M60" s="2">
        <v>449.58</v>
      </c>
    </row>
    <row r="61" spans="1:13" ht="15.75" customHeight="1" x14ac:dyDescent="0.3">
      <c r="A61" s="2" t="s">
        <v>13</v>
      </c>
      <c r="B61" s="2" t="s">
        <v>59</v>
      </c>
      <c r="C61" s="2" t="s">
        <v>11</v>
      </c>
      <c r="D61" s="2" t="s">
        <v>15</v>
      </c>
      <c r="E61" s="2">
        <v>1360.36</v>
      </c>
      <c r="F61" s="2">
        <v>1150</v>
      </c>
      <c r="G61" s="2">
        <v>17</v>
      </c>
      <c r="H61" s="2">
        <f t="shared" si="2"/>
        <v>19550</v>
      </c>
      <c r="I61" s="2">
        <v>0</v>
      </c>
      <c r="J61" s="2">
        <f t="shared" si="0"/>
        <v>0</v>
      </c>
      <c r="K61" s="2">
        <f t="shared" si="1"/>
        <v>19550</v>
      </c>
      <c r="L61" s="3">
        <v>45473</v>
      </c>
      <c r="M61" s="2">
        <v>680.18</v>
      </c>
    </row>
    <row r="62" spans="1:13" ht="15.75" customHeight="1" x14ac:dyDescent="0.3">
      <c r="A62" s="2" t="s">
        <v>57</v>
      </c>
      <c r="B62" s="2" t="s">
        <v>31</v>
      </c>
      <c r="C62" s="2" t="s">
        <v>18</v>
      </c>
      <c r="D62" s="2" t="s">
        <v>12</v>
      </c>
      <c r="E62" s="2">
        <v>1383.3</v>
      </c>
      <c r="F62" s="2">
        <v>60</v>
      </c>
      <c r="G62" s="2">
        <v>8</v>
      </c>
      <c r="H62" s="2">
        <f t="shared" si="2"/>
        <v>480</v>
      </c>
      <c r="I62" s="2">
        <v>0.1</v>
      </c>
      <c r="J62" s="2">
        <f t="shared" si="0"/>
        <v>48</v>
      </c>
      <c r="K62" s="2">
        <f t="shared" si="1"/>
        <v>432</v>
      </c>
      <c r="L62" s="3">
        <v>45478</v>
      </c>
      <c r="M62" s="2">
        <v>497.99</v>
      </c>
    </row>
    <row r="63" spans="1:13" ht="15.75" customHeight="1" x14ac:dyDescent="0.3">
      <c r="A63" s="2" t="s">
        <v>35</v>
      </c>
      <c r="B63" s="2" t="s">
        <v>55</v>
      </c>
      <c r="C63" s="2" t="s">
        <v>34</v>
      </c>
      <c r="D63" s="2" t="s">
        <v>39</v>
      </c>
      <c r="E63" s="2">
        <v>488.99</v>
      </c>
      <c r="F63" s="2">
        <v>10000</v>
      </c>
      <c r="G63" s="2">
        <v>9</v>
      </c>
      <c r="H63" s="2">
        <f t="shared" si="2"/>
        <v>90000</v>
      </c>
      <c r="I63" s="2">
        <v>0</v>
      </c>
      <c r="J63" s="2">
        <f t="shared" si="0"/>
        <v>0</v>
      </c>
      <c r="K63" s="2">
        <f t="shared" si="1"/>
        <v>90000</v>
      </c>
      <c r="L63" s="3">
        <v>45479</v>
      </c>
      <c r="M63" s="2">
        <v>220.05</v>
      </c>
    </row>
    <row r="64" spans="1:13" ht="15.75" customHeight="1" x14ac:dyDescent="0.3">
      <c r="A64" s="2" t="s">
        <v>30</v>
      </c>
      <c r="B64" s="2" t="s">
        <v>31</v>
      </c>
      <c r="C64" s="2" t="s">
        <v>18</v>
      </c>
      <c r="D64" s="2" t="s">
        <v>27</v>
      </c>
      <c r="E64" s="2">
        <v>933.71</v>
      </c>
      <c r="F64" s="2">
        <v>40000</v>
      </c>
      <c r="G64" s="2">
        <v>17</v>
      </c>
      <c r="H64" s="2">
        <f t="shared" si="2"/>
        <v>680000</v>
      </c>
      <c r="I64" s="2">
        <v>0.1</v>
      </c>
      <c r="J64" s="2">
        <f t="shared" si="0"/>
        <v>68000</v>
      </c>
      <c r="K64" s="2">
        <f t="shared" si="1"/>
        <v>612000</v>
      </c>
      <c r="L64" s="3">
        <v>45481</v>
      </c>
      <c r="M64" s="2">
        <v>294.12</v>
      </c>
    </row>
    <row r="65" spans="1:13" ht="15.75" customHeight="1" x14ac:dyDescent="0.3">
      <c r="A65" s="2" t="s">
        <v>67</v>
      </c>
      <c r="B65" s="2" t="s">
        <v>10</v>
      </c>
      <c r="C65" s="2" t="s">
        <v>11</v>
      </c>
      <c r="D65" s="2" t="s">
        <v>21</v>
      </c>
      <c r="E65" s="2">
        <v>1005.53</v>
      </c>
      <c r="F65" s="2">
        <v>12000</v>
      </c>
      <c r="G65" s="2">
        <v>17</v>
      </c>
      <c r="H65" s="2">
        <f t="shared" si="2"/>
        <v>204000</v>
      </c>
      <c r="I65" s="2">
        <v>0.2</v>
      </c>
      <c r="J65" s="2">
        <f t="shared" si="0"/>
        <v>40800</v>
      </c>
      <c r="K65" s="2">
        <f t="shared" si="1"/>
        <v>163200</v>
      </c>
      <c r="L65" s="3">
        <v>45481</v>
      </c>
      <c r="M65" s="2">
        <v>201.11</v>
      </c>
    </row>
    <row r="66" spans="1:13" ht="15.75" customHeight="1" x14ac:dyDescent="0.3">
      <c r="A66" s="2" t="s">
        <v>41</v>
      </c>
      <c r="B66" s="2" t="s">
        <v>61</v>
      </c>
      <c r="C66" s="2" t="s">
        <v>20</v>
      </c>
      <c r="D66" s="2" t="s">
        <v>21</v>
      </c>
      <c r="E66" s="2">
        <v>1100.0999999999999</v>
      </c>
      <c r="F66" s="2">
        <v>12000</v>
      </c>
      <c r="G66" s="2">
        <v>5</v>
      </c>
      <c r="H66" s="2">
        <f t="shared" si="2"/>
        <v>60000</v>
      </c>
      <c r="I66" s="2">
        <v>0.05</v>
      </c>
      <c r="J66" s="2">
        <f t="shared" si="0"/>
        <v>3000</v>
      </c>
      <c r="K66" s="2">
        <f t="shared" si="1"/>
        <v>57000</v>
      </c>
      <c r="L66" s="3">
        <v>45482</v>
      </c>
      <c r="M66" s="2">
        <v>261.27</v>
      </c>
    </row>
    <row r="67" spans="1:13" ht="15.75" customHeight="1" x14ac:dyDescent="0.3">
      <c r="A67" s="2" t="s">
        <v>67</v>
      </c>
      <c r="B67" s="2" t="s">
        <v>23</v>
      </c>
      <c r="C67" s="2" t="s">
        <v>24</v>
      </c>
      <c r="D67" s="2" t="s">
        <v>27</v>
      </c>
      <c r="E67" s="2">
        <v>1034.7</v>
      </c>
      <c r="F67" s="2">
        <v>40000</v>
      </c>
      <c r="G67" s="2">
        <v>15</v>
      </c>
      <c r="H67" s="2">
        <f t="shared" ref="H67:H130" si="3">F67*G67</f>
        <v>600000</v>
      </c>
      <c r="I67" s="2">
        <v>0.15</v>
      </c>
      <c r="J67" s="2">
        <f t="shared" ref="J67:J130" si="4">H67*I67</f>
        <v>90000</v>
      </c>
      <c r="K67" s="2">
        <f t="shared" ref="K67:K130" si="5">H67-J67</f>
        <v>510000</v>
      </c>
      <c r="L67" s="3">
        <v>45487</v>
      </c>
      <c r="M67" s="2">
        <v>307.82</v>
      </c>
    </row>
    <row r="68" spans="1:13" ht="15.75" customHeight="1" x14ac:dyDescent="0.3">
      <c r="A68" s="2" t="s">
        <v>65</v>
      </c>
      <c r="B68" s="2" t="s">
        <v>31</v>
      </c>
      <c r="C68" s="2" t="s">
        <v>20</v>
      </c>
      <c r="D68" s="2" t="s">
        <v>12</v>
      </c>
      <c r="E68" s="2">
        <v>876.44</v>
      </c>
      <c r="F68" s="2">
        <v>60</v>
      </c>
      <c r="G68" s="2">
        <v>12</v>
      </c>
      <c r="H68" s="2">
        <f t="shared" si="3"/>
        <v>720</v>
      </c>
      <c r="I68" s="2">
        <v>0.05</v>
      </c>
      <c r="J68" s="2">
        <f t="shared" si="4"/>
        <v>36</v>
      </c>
      <c r="K68" s="2">
        <f t="shared" si="5"/>
        <v>684</v>
      </c>
      <c r="L68" s="3">
        <v>45488</v>
      </c>
      <c r="M68" s="2">
        <v>333.05</v>
      </c>
    </row>
    <row r="69" spans="1:13" ht="15.75" customHeight="1" x14ac:dyDescent="0.3">
      <c r="A69" s="2" t="s">
        <v>68</v>
      </c>
      <c r="B69" s="2" t="s">
        <v>55</v>
      </c>
      <c r="C69" s="2" t="s">
        <v>11</v>
      </c>
      <c r="D69" s="2" t="s">
        <v>27</v>
      </c>
      <c r="E69" s="2">
        <v>1371.34</v>
      </c>
      <c r="F69" s="2">
        <v>40000</v>
      </c>
      <c r="G69" s="2">
        <v>5</v>
      </c>
      <c r="H69" s="2">
        <f t="shared" si="3"/>
        <v>200000</v>
      </c>
      <c r="I69" s="2">
        <v>0.05</v>
      </c>
      <c r="J69" s="2">
        <f t="shared" si="4"/>
        <v>10000</v>
      </c>
      <c r="K69" s="2">
        <f t="shared" si="5"/>
        <v>190000</v>
      </c>
      <c r="L69" s="3">
        <v>45488</v>
      </c>
      <c r="M69" s="2">
        <v>455.97</v>
      </c>
    </row>
    <row r="70" spans="1:13" ht="15.75" customHeight="1" x14ac:dyDescent="0.3">
      <c r="A70" s="2" t="s">
        <v>57</v>
      </c>
      <c r="B70" s="2" t="s">
        <v>47</v>
      </c>
      <c r="C70" s="2" t="s">
        <v>24</v>
      </c>
      <c r="D70" s="2" t="s">
        <v>21</v>
      </c>
      <c r="E70" s="2">
        <v>1020.26</v>
      </c>
      <c r="F70" s="2">
        <v>12000</v>
      </c>
      <c r="G70" s="2">
        <v>11</v>
      </c>
      <c r="H70" s="2">
        <f t="shared" si="3"/>
        <v>132000</v>
      </c>
      <c r="I70" s="2">
        <v>0.05</v>
      </c>
      <c r="J70" s="2">
        <f t="shared" si="4"/>
        <v>6600</v>
      </c>
      <c r="K70" s="2">
        <f t="shared" si="5"/>
        <v>125400</v>
      </c>
      <c r="L70" s="3">
        <v>45494</v>
      </c>
      <c r="M70" s="2">
        <v>242.31</v>
      </c>
    </row>
    <row r="71" spans="1:13" ht="15.75" customHeight="1" x14ac:dyDescent="0.3">
      <c r="A71" s="2" t="s">
        <v>44</v>
      </c>
      <c r="B71" s="2" t="s">
        <v>10</v>
      </c>
      <c r="C71" s="2" t="s">
        <v>34</v>
      </c>
      <c r="D71" s="2" t="s">
        <v>39</v>
      </c>
      <c r="E71" s="2">
        <v>804.81</v>
      </c>
      <c r="F71" s="2">
        <v>10000</v>
      </c>
      <c r="G71" s="2">
        <v>1</v>
      </c>
      <c r="H71" s="2">
        <f t="shared" si="3"/>
        <v>10000</v>
      </c>
      <c r="I71" s="2">
        <v>0.05</v>
      </c>
      <c r="J71" s="2">
        <f t="shared" si="4"/>
        <v>500</v>
      </c>
      <c r="K71" s="2">
        <f t="shared" si="5"/>
        <v>9500</v>
      </c>
      <c r="L71" s="3">
        <v>45502</v>
      </c>
      <c r="M71" s="2">
        <v>344.06</v>
      </c>
    </row>
    <row r="72" spans="1:13" ht="15.75" customHeight="1" x14ac:dyDescent="0.3">
      <c r="A72" s="2" t="s">
        <v>22</v>
      </c>
      <c r="B72" s="2" t="s">
        <v>55</v>
      </c>
      <c r="C72" s="2" t="s">
        <v>34</v>
      </c>
      <c r="D72" s="2" t="s">
        <v>21</v>
      </c>
      <c r="E72" s="2">
        <v>608.66</v>
      </c>
      <c r="F72" s="2">
        <v>12000</v>
      </c>
      <c r="G72" s="2">
        <v>1</v>
      </c>
      <c r="H72" s="2">
        <f t="shared" si="3"/>
        <v>12000</v>
      </c>
      <c r="I72" s="2">
        <v>0.05</v>
      </c>
      <c r="J72" s="2">
        <f t="shared" si="4"/>
        <v>600</v>
      </c>
      <c r="K72" s="2">
        <f t="shared" si="5"/>
        <v>11400</v>
      </c>
      <c r="L72" s="3">
        <v>45503</v>
      </c>
      <c r="M72" s="2">
        <v>144.56</v>
      </c>
    </row>
    <row r="73" spans="1:13" ht="15.75" customHeight="1" x14ac:dyDescent="0.3">
      <c r="A73" s="2" t="s">
        <v>68</v>
      </c>
      <c r="B73" s="2" t="s">
        <v>69</v>
      </c>
      <c r="C73" s="2" t="s">
        <v>20</v>
      </c>
      <c r="D73" s="2" t="s">
        <v>39</v>
      </c>
      <c r="E73" s="2">
        <v>981.2</v>
      </c>
      <c r="F73" s="2">
        <v>10000</v>
      </c>
      <c r="G73" s="2">
        <v>19</v>
      </c>
      <c r="H73" s="2">
        <f t="shared" si="3"/>
        <v>190000</v>
      </c>
      <c r="I73" s="2">
        <v>0</v>
      </c>
      <c r="J73" s="2">
        <f t="shared" si="4"/>
        <v>0</v>
      </c>
      <c r="K73" s="2">
        <f t="shared" si="5"/>
        <v>190000</v>
      </c>
      <c r="L73" s="3">
        <v>45504</v>
      </c>
      <c r="M73" s="2">
        <v>441.54</v>
      </c>
    </row>
    <row r="74" spans="1:13" ht="15.75" customHeight="1" x14ac:dyDescent="0.3">
      <c r="A74" s="2" t="s">
        <v>70</v>
      </c>
      <c r="B74" s="2" t="s">
        <v>55</v>
      </c>
      <c r="C74" s="2" t="s">
        <v>18</v>
      </c>
      <c r="D74" s="2" t="s">
        <v>21</v>
      </c>
      <c r="E74" s="2">
        <v>539.77</v>
      </c>
      <c r="F74" s="2">
        <v>12000</v>
      </c>
      <c r="G74" s="2">
        <v>10</v>
      </c>
      <c r="H74" s="2">
        <f t="shared" si="3"/>
        <v>120000</v>
      </c>
      <c r="I74" s="2">
        <v>0.15</v>
      </c>
      <c r="J74" s="2">
        <f t="shared" si="4"/>
        <v>18000</v>
      </c>
      <c r="K74" s="2">
        <f t="shared" si="5"/>
        <v>102000</v>
      </c>
      <c r="L74" s="3">
        <v>45509</v>
      </c>
      <c r="M74" s="2">
        <v>114.7</v>
      </c>
    </row>
    <row r="75" spans="1:13" ht="15.75" customHeight="1" x14ac:dyDescent="0.3">
      <c r="A75" s="2" t="s">
        <v>13</v>
      </c>
      <c r="B75" s="2" t="s">
        <v>71</v>
      </c>
      <c r="C75" s="2" t="s">
        <v>20</v>
      </c>
      <c r="D75" s="2" t="s">
        <v>12</v>
      </c>
      <c r="E75" s="2">
        <v>804.45</v>
      </c>
      <c r="F75" s="2">
        <v>60</v>
      </c>
      <c r="G75" s="2">
        <v>5</v>
      </c>
      <c r="H75" s="2">
        <f t="shared" si="3"/>
        <v>300</v>
      </c>
      <c r="I75" s="2">
        <v>0.2</v>
      </c>
      <c r="J75" s="2">
        <f t="shared" si="4"/>
        <v>60</v>
      </c>
      <c r="K75" s="2">
        <f t="shared" si="5"/>
        <v>240</v>
      </c>
      <c r="L75" s="3">
        <v>45509</v>
      </c>
      <c r="M75" s="2">
        <v>257.42</v>
      </c>
    </row>
    <row r="76" spans="1:13" ht="15.75" customHeight="1" x14ac:dyDescent="0.3">
      <c r="A76" s="2" t="s">
        <v>70</v>
      </c>
      <c r="B76" s="2" t="s">
        <v>38</v>
      </c>
      <c r="C76" s="2" t="s">
        <v>11</v>
      </c>
      <c r="D76" s="2" t="s">
        <v>21</v>
      </c>
      <c r="E76" s="2">
        <v>1526.6</v>
      </c>
      <c r="F76" s="2">
        <v>12000</v>
      </c>
      <c r="G76" s="2">
        <v>13</v>
      </c>
      <c r="H76" s="2">
        <f t="shared" si="3"/>
        <v>156000</v>
      </c>
      <c r="I76" s="2">
        <v>0.2</v>
      </c>
      <c r="J76" s="2">
        <f t="shared" si="4"/>
        <v>31200</v>
      </c>
      <c r="K76" s="2">
        <f t="shared" si="5"/>
        <v>124800</v>
      </c>
      <c r="L76" s="3">
        <v>45512</v>
      </c>
      <c r="M76" s="2">
        <v>305.32</v>
      </c>
    </row>
    <row r="77" spans="1:13" ht="15.75" customHeight="1" x14ac:dyDescent="0.3">
      <c r="A77" s="2" t="s">
        <v>13</v>
      </c>
      <c r="B77" s="2" t="s">
        <v>29</v>
      </c>
      <c r="C77" s="2" t="s">
        <v>11</v>
      </c>
      <c r="D77" s="2" t="s">
        <v>21</v>
      </c>
      <c r="E77" s="2">
        <v>1215.26</v>
      </c>
      <c r="F77" s="2">
        <v>12000</v>
      </c>
      <c r="G77" s="2">
        <v>5</v>
      </c>
      <c r="H77" s="2">
        <f t="shared" si="3"/>
        <v>60000</v>
      </c>
      <c r="I77" s="2">
        <v>0.15</v>
      </c>
      <c r="J77" s="2">
        <f t="shared" si="4"/>
        <v>9000</v>
      </c>
      <c r="K77" s="2">
        <f t="shared" si="5"/>
        <v>51000</v>
      </c>
      <c r="L77" s="3">
        <v>45513</v>
      </c>
      <c r="M77" s="2">
        <v>258.24</v>
      </c>
    </row>
    <row r="78" spans="1:13" ht="15.75" customHeight="1" x14ac:dyDescent="0.3">
      <c r="A78" s="2" t="s">
        <v>19</v>
      </c>
      <c r="B78" s="2" t="s">
        <v>53</v>
      </c>
      <c r="C78" s="2" t="s">
        <v>34</v>
      </c>
      <c r="D78" s="2" t="s">
        <v>27</v>
      </c>
      <c r="E78" s="2">
        <v>1261.3399999999999</v>
      </c>
      <c r="F78" s="2">
        <v>40000</v>
      </c>
      <c r="G78" s="2">
        <v>3</v>
      </c>
      <c r="H78" s="2">
        <f t="shared" si="3"/>
        <v>120000</v>
      </c>
      <c r="I78" s="2">
        <v>0</v>
      </c>
      <c r="J78" s="2">
        <f t="shared" si="4"/>
        <v>0</v>
      </c>
      <c r="K78" s="2">
        <f t="shared" si="5"/>
        <v>120000</v>
      </c>
      <c r="L78" s="3">
        <v>45519</v>
      </c>
      <c r="M78" s="2">
        <v>441.47</v>
      </c>
    </row>
    <row r="79" spans="1:13" ht="15.75" customHeight="1" x14ac:dyDescent="0.3">
      <c r="A79" s="2" t="s">
        <v>72</v>
      </c>
      <c r="B79" s="2" t="s">
        <v>45</v>
      </c>
      <c r="C79" s="2" t="s">
        <v>24</v>
      </c>
      <c r="D79" s="2" t="s">
        <v>27</v>
      </c>
      <c r="E79" s="2">
        <v>518.07000000000005</v>
      </c>
      <c r="F79" s="2">
        <v>40000</v>
      </c>
      <c r="G79" s="2">
        <v>7</v>
      </c>
      <c r="H79" s="2">
        <f t="shared" si="3"/>
        <v>280000</v>
      </c>
      <c r="I79" s="2">
        <v>0.05</v>
      </c>
      <c r="J79" s="2">
        <f t="shared" si="4"/>
        <v>14000</v>
      </c>
      <c r="K79" s="2">
        <f t="shared" si="5"/>
        <v>266000</v>
      </c>
      <c r="L79" s="3">
        <v>45522</v>
      </c>
      <c r="M79" s="2">
        <v>172.26</v>
      </c>
    </row>
    <row r="80" spans="1:13" ht="15.75" customHeight="1" x14ac:dyDescent="0.3">
      <c r="A80" s="2" t="s">
        <v>30</v>
      </c>
      <c r="B80" s="2" t="s">
        <v>29</v>
      </c>
      <c r="C80" s="2" t="s">
        <v>11</v>
      </c>
      <c r="D80" s="2" t="s">
        <v>39</v>
      </c>
      <c r="E80" s="2">
        <v>1111.3399999999999</v>
      </c>
      <c r="F80" s="2">
        <v>10000</v>
      </c>
      <c r="G80" s="2">
        <v>1</v>
      </c>
      <c r="H80" s="2">
        <f t="shared" si="3"/>
        <v>10000</v>
      </c>
      <c r="I80" s="2">
        <v>0</v>
      </c>
      <c r="J80" s="2">
        <f t="shared" si="4"/>
        <v>0</v>
      </c>
      <c r="K80" s="2">
        <f t="shared" si="5"/>
        <v>10000</v>
      </c>
      <c r="L80" s="3">
        <v>45523</v>
      </c>
      <c r="M80" s="2">
        <v>500.1</v>
      </c>
    </row>
    <row r="81" spans="1:13" ht="15.75" customHeight="1" x14ac:dyDescent="0.3">
      <c r="A81" s="2" t="s">
        <v>22</v>
      </c>
      <c r="B81" s="2" t="s">
        <v>31</v>
      </c>
      <c r="C81" s="2" t="s">
        <v>18</v>
      </c>
      <c r="D81" s="2" t="s">
        <v>15</v>
      </c>
      <c r="E81" s="2">
        <v>1291.47</v>
      </c>
      <c r="F81" s="2">
        <v>1150</v>
      </c>
      <c r="G81" s="2">
        <v>18</v>
      </c>
      <c r="H81" s="2">
        <f t="shared" si="3"/>
        <v>20700</v>
      </c>
      <c r="I81" s="2">
        <v>0.1</v>
      </c>
      <c r="J81" s="2">
        <f t="shared" si="4"/>
        <v>2070</v>
      </c>
      <c r="K81" s="2">
        <f t="shared" si="5"/>
        <v>18630</v>
      </c>
      <c r="L81" s="3">
        <v>45526</v>
      </c>
      <c r="M81" s="2">
        <v>581.16</v>
      </c>
    </row>
    <row r="82" spans="1:13" ht="15.75" customHeight="1" x14ac:dyDescent="0.3">
      <c r="A82" s="2" t="s">
        <v>25</v>
      </c>
      <c r="B82" s="2" t="s">
        <v>55</v>
      </c>
      <c r="C82" s="2" t="s">
        <v>24</v>
      </c>
      <c r="D82" s="2" t="s">
        <v>12</v>
      </c>
      <c r="E82" s="2">
        <v>679.71</v>
      </c>
      <c r="F82" s="2">
        <v>60</v>
      </c>
      <c r="G82" s="2">
        <v>19</v>
      </c>
      <c r="H82" s="2">
        <f t="shared" si="3"/>
        <v>1140</v>
      </c>
      <c r="I82" s="2">
        <v>0</v>
      </c>
      <c r="J82" s="2">
        <f t="shared" si="4"/>
        <v>0</v>
      </c>
      <c r="K82" s="2">
        <f t="shared" si="5"/>
        <v>1140</v>
      </c>
      <c r="L82" s="3">
        <v>45534</v>
      </c>
      <c r="M82" s="2">
        <v>271.88</v>
      </c>
    </row>
    <row r="83" spans="1:13" ht="15.75" customHeight="1" x14ac:dyDescent="0.3">
      <c r="A83" s="2" t="s">
        <v>68</v>
      </c>
      <c r="B83" s="2" t="s">
        <v>33</v>
      </c>
      <c r="C83" s="2" t="s">
        <v>18</v>
      </c>
      <c r="D83" s="2" t="s">
        <v>27</v>
      </c>
      <c r="E83" s="2">
        <v>1143.69</v>
      </c>
      <c r="F83" s="2">
        <v>40000</v>
      </c>
      <c r="G83" s="2">
        <v>17</v>
      </c>
      <c r="H83" s="2">
        <f t="shared" si="3"/>
        <v>680000</v>
      </c>
      <c r="I83" s="2">
        <v>0</v>
      </c>
      <c r="J83" s="2">
        <f t="shared" si="4"/>
        <v>0</v>
      </c>
      <c r="K83" s="2">
        <f t="shared" si="5"/>
        <v>680000</v>
      </c>
      <c r="L83" s="3">
        <v>45534</v>
      </c>
      <c r="M83" s="2">
        <v>400.29</v>
      </c>
    </row>
    <row r="84" spans="1:13" ht="15.75" customHeight="1" x14ac:dyDescent="0.3">
      <c r="A84" s="2" t="s">
        <v>52</v>
      </c>
      <c r="B84" s="2" t="s">
        <v>50</v>
      </c>
      <c r="C84" s="2" t="s">
        <v>34</v>
      </c>
      <c r="D84" s="2" t="s">
        <v>21</v>
      </c>
      <c r="E84" s="2">
        <v>790.08</v>
      </c>
      <c r="F84" s="2">
        <v>12000</v>
      </c>
      <c r="G84" s="2">
        <v>7</v>
      </c>
      <c r="H84" s="2">
        <f t="shared" si="3"/>
        <v>84000</v>
      </c>
      <c r="I84" s="2">
        <v>0.1</v>
      </c>
      <c r="J84" s="2">
        <f t="shared" si="4"/>
        <v>8400</v>
      </c>
      <c r="K84" s="2">
        <f t="shared" si="5"/>
        <v>75600</v>
      </c>
      <c r="L84" s="3">
        <v>45536</v>
      </c>
      <c r="M84" s="2">
        <v>177.77</v>
      </c>
    </row>
    <row r="85" spans="1:13" ht="15.75" customHeight="1" x14ac:dyDescent="0.3">
      <c r="A85" s="2" t="s">
        <v>19</v>
      </c>
      <c r="B85" s="2" t="s">
        <v>48</v>
      </c>
      <c r="C85" s="2" t="s">
        <v>34</v>
      </c>
      <c r="D85" s="2" t="s">
        <v>12</v>
      </c>
      <c r="E85" s="2">
        <v>1070.68</v>
      </c>
      <c r="F85" s="2">
        <v>60</v>
      </c>
      <c r="G85" s="2">
        <v>7</v>
      </c>
      <c r="H85" s="2">
        <f t="shared" si="3"/>
        <v>420</v>
      </c>
      <c r="I85" s="2">
        <v>0.05</v>
      </c>
      <c r="J85" s="2">
        <f t="shared" si="4"/>
        <v>21</v>
      </c>
      <c r="K85" s="2">
        <f t="shared" si="5"/>
        <v>399</v>
      </c>
      <c r="L85" s="3">
        <v>45536</v>
      </c>
      <c r="M85" s="2">
        <v>406.86</v>
      </c>
    </row>
    <row r="86" spans="1:13" ht="15.75" customHeight="1" x14ac:dyDescent="0.3">
      <c r="A86" s="2" t="s">
        <v>58</v>
      </c>
      <c r="B86" s="2" t="s">
        <v>36</v>
      </c>
      <c r="C86" s="2" t="s">
        <v>11</v>
      </c>
      <c r="D86" s="2" t="s">
        <v>15</v>
      </c>
      <c r="E86" s="2">
        <v>1168.8900000000001</v>
      </c>
      <c r="F86" s="2">
        <v>1150</v>
      </c>
      <c r="G86" s="2">
        <v>4</v>
      </c>
      <c r="H86" s="2">
        <f t="shared" si="3"/>
        <v>4600</v>
      </c>
      <c r="I86" s="2">
        <v>0.1</v>
      </c>
      <c r="J86" s="2">
        <f t="shared" si="4"/>
        <v>460</v>
      </c>
      <c r="K86" s="2">
        <f t="shared" si="5"/>
        <v>4140</v>
      </c>
      <c r="L86" s="3">
        <v>45544</v>
      </c>
      <c r="M86" s="2">
        <v>526</v>
      </c>
    </row>
    <row r="87" spans="1:13" ht="15.75" customHeight="1" x14ac:dyDescent="0.3">
      <c r="A87" s="2" t="s">
        <v>67</v>
      </c>
      <c r="B87" s="2" t="s">
        <v>10</v>
      </c>
      <c r="C87" s="2" t="s">
        <v>20</v>
      </c>
      <c r="D87" s="2" t="s">
        <v>21</v>
      </c>
      <c r="E87" s="2">
        <v>1335.87</v>
      </c>
      <c r="F87" s="2">
        <v>12000</v>
      </c>
      <c r="G87" s="2">
        <v>17</v>
      </c>
      <c r="H87" s="2">
        <f t="shared" si="3"/>
        <v>204000</v>
      </c>
      <c r="I87" s="2">
        <v>0</v>
      </c>
      <c r="J87" s="2">
        <f t="shared" si="4"/>
        <v>0</v>
      </c>
      <c r="K87" s="2">
        <f t="shared" si="5"/>
        <v>204000</v>
      </c>
      <c r="L87" s="3">
        <v>45544</v>
      </c>
      <c r="M87" s="2">
        <v>333.97</v>
      </c>
    </row>
    <row r="88" spans="1:13" ht="15.75" customHeight="1" x14ac:dyDescent="0.3">
      <c r="A88" s="2" t="s">
        <v>40</v>
      </c>
      <c r="B88" s="2" t="s">
        <v>55</v>
      </c>
      <c r="C88" s="2" t="s">
        <v>18</v>
      </c>
      <c r="D88" s="2" t="s">
        <v>27</v>
      </c>
      <c r="E88" s="2">
        <v>873.7</v>
      </c>
      <c r="F88" s="2">
        <v>40000</v>
      </c>
      <c r="G88" s="2">
        <v>9</v>
      </c>
      <c r="H88" s="2">
        <f t="shared" si="3"/>
        <v>360000</v>
      </c>
      <c r="I88" s="2">
        <v>0</v>
      </c>
      <c r="J88" s="2">
        <f t="shared" si="4"/>
        <v>0</v>
      </c>
      <c r="K88" s="2">
        <f t="shared" si="5"/>
        <v>360000</v>
      </c>
      <c r="L88" s="3">
        <v>45546</v>
      </c>
      <c r="M88" s="2">
        <v>305.8</v>
      </c>
    </row>
    <row r="89" spans="1:13" ht="15.75" customHeight="1" x14ac:dyDescent="0.3">
      <c r="A89" s="2" t="s">
        <v>72</v>
      </c>
      <c r="B89" s="2" t="s">
        <v>64</v>
      </c>
      <c r="C89" s="2" t="s">
        <v>11</v>
      </c>
      <c r="D89" s="2" t="s">
        <v>39</v>
      </c>
      <c r="E89" s="2">
        <v>1443.98</v>
      </c>
      <c r="F89" s="2">
        <v>10000</v>
      </c>
      <c r="G89" s="2">
        <v>19</v>
      </c>
      <c r="H89" s="2">
        <f t="shared" si="3"/>
        <v>190000</v>
      </c>
      <c r="I89" s="2">
        <v>0</v>
      </c>
      <c r="J89" s="2">
        <f t="shared" si="4"/>
        <v>0</v>
      </c>
      <c r="K89" s="2">
        <f t="shared" si="5"/>
        <v>190000</v>
      </c>
      <c r="L89" s="3">
        <v>45547</v>
      </c>
      <c r="M89" s="2">
        <v>649.79</v>
      </c>
    </row>
    <row r="90" spans="1:13" ht="15.75" customHeight="1" x14ac:dyDescent="0.3">
      <c r="A90" s="2" t="s">
        <v>40</v>
      </c>
      <c r="B90" s="2" t="s">
        <v>23</v>
      </c>
      <c r="C90" s="2" t="s">
        <v>18</v>
      </c>
      <c r="D90" s="2" t="s">
        <v>39</v>
      </c>
      <c r="E90" s="2">
        <v>1154.33</v>
      </c>
      <c r="F90" s="2">
        <v>10000</v>
      </c>
      <c r="G90" s="2">
        <v>11</v>
      </c>
      <c r="H90" s="2">
        <f t="shared" si="3"/>
        <v>110000</v>
      </c>
      <c r="I90" s="2">
        <v>0.15</v>
      </c>
      <c r="J90" s="2">
        <f t="shared" si="4"/>
        <v>16500</v>
      </c>
      <c r="K90" s="2">
        <f t="shared" si="5"/>
        <v>93500</v>
      </c>
      <c r="L90" s="3">
        <v>45549</v>
      </c>
      <c r="M90" s="2">
        <v>441.53</v>
      </c>
    </row>
    <row r="91" spans="1:13" ht="15.75" customHeight="1" x14ac:dyDescent="0.3">
      <c r="A91" s="2" t="s">
        <v>49</v>
      </c>
      <c r="B91" s="2" t="s">
        <v>50</v>
      </c>
      <c r="C91" s="2" t="s">
        <v>20</v>
      </c>
      <c r="D91" s="2" t="s">
        <v>12</v>
      </c>
      <c r="E91" s="2">
        <v>1264.49</v>
      </c>
      <c r="F91" s="2">
        <v>60</v>
      </c>
      <c r="G91" s="2">
        <v>16</v>
      </c>
      <c r="H91" s="2">
        <f t="shared" si="3"/>
        <v>960</v>
      </c>
      <c r="I91" s="2">
        <v>0.05</v>
      </c>
      <c r="J91" s="2">
        <f t="shared" si="4"/>
        <v>48</v>
      </c>
      <c r="K91" s="2">
        <f t="shared" si="5"/>
        <v>912</v>
      </c>
      <c r="L91" s="3">
        <v>45549</v>
      </c>
      <c r="M91" s="2">
        <v>480.51</v>
      </c>
    </row>
    <row r="92" spans="1:13" ht="15.75" customHeight="1" x14ac:dyDescent="0.3">
      <c r="A92" s="2" t="s">
        <v>25</v>
      </c>
      <c r="B92" s="2" t="s">
        <v>66</v>
      </c>
      <c r="C92" s="2" t="s">
        <v>11</v>
      </c>
      <c r="D92" s="2" t="s">
        <v>27</v>
      </c>
      <c r="E92" s="2">
        <v>1101.55</v>
      </c>
      <c r="F92" s="2">
        <v>40000</v>
      </c>
      <c r="G92" s="2">
        <v>4</v>
      </c>
      <c r="H92" s="2">
        <f t="shared" si="3"/>
        <v>160000</v>
      </c>
      <c r="I92" s="2">
        <v>0.1</v>
      </c>
      <c r="J92" s="2">
        <f t="shared" si="4"/>
        <v>16000</v>
      </c>
      <c r="K92" s="2">
        <f t="shared" si="5"/>
        <v>144000</v>
      </c>
      <c r="L92" s="3">
        <v>45551</v>
      </c>
      <c r="M92" s="2">
        <v>346.99</v>
      </c>
    </row>
    <row r="93" spans="1:13" ht="15.75" customHeight="1" x14ac:dyDescent="0.3">
      <c r="A93" s="2" t="s">
        <v>73</v>
      </c>
      <c r="B93" s="2" t="s">
        <v>14</v>
      </c>
      <c r="C93" s="2" t="s">
        <v>20</v>
      </c>
      <c r="D93" s="2" t="s">
        <v>27</v>
      </c>
      <c r="E93" s="2">
        <v>727.73</v>
      </c>
      <c r="F93" s="2">
        <v>40000</v>
      </c>
      <c r="G93" s="2">
        <v>1</v>
      </c>
      <c r="H93" s="2">
        <f t="shared" si="3"/>
        <v>40000</v>
      </c>
      <c r="I93" s="2">
        <v>0.1</v>
      </c>
      <c r="J93" s="2">
        <f t="shared" si="4"/>
        <v>4000</v>
      </c>
      <c r="K93" s="2">
        <f t="shared" si="5"/>
        <v>36000</v>
      </c>
      <c r="L93" s="3">
        <v>45552</v>
      </c>
      <c r="M93" s="2">
        <v>229.23</v>
      </c>
    </row>
    <row r="94" spans="1:13" ht="15.75" customHeight="1" x14ac:dyDescent="0.3">
      <c r="A94" s="2" t="s">
        <v>74</v>
      </c>
      <c r="B94" s="2" t="s">
        <v>38</v>
      </c>
      <c r="C94" s="2" t="s">
        <v>18</v>
      </c>
      <c r="D94" s="2" t="s">
        <v>39</v>
      </c>
      <c r="E94" s="2">
        <v>875.41</v>
      </c>
      <c r="F94" s="2">
        <v>10000</v>
      </c>
      <c r="G94" s="2">
        <v>13</v>
      </c>
      <c r="H94" s="2">
        <f t="shared" si="3"/>
        <v>130000</v>
      </c>
      <c r="I94" s="2">
        <v>0.15</v>
      </c>
      <c r="J94" s="2">
        <f t="shared" si="4"/>
        <v>19500</v>
      </c>
      <c r="K94" s="2">
        <f t="shared" si="5"/>
        <v>110500</v>
      </c>
      <c r="L94" s="3">
        <v>45552</v>
      </c>
      <c r="M94" s="2">
        <v>334.84</v>
      </c>
    </row>
    <row r="95" spans="1:13" ht="15.75" customHeight="1" x14ac:dyDescent="0.3">
      <c r="A95" s="2" t="s">
        <v>67</v>
      </c>
      <c r="B95" s="2" t="s">
        <v>23</v>
      </c>
      <c r="C95" s="2" t="s">
        <v>11</v>
      </c>
      <c r="D95" s="2" t="s">
        <v>21</v>
      </c>
      <c r="E95" s="2">
        <v>1158.94</v>
      </c>
      <c r="F95" s="2">
        <v>12000</v>
      </c>
      <c r="G95" s="2">
        <v>19</v>
      </c>
      <c r="H95" s="2">
        <f t="shared" si="3"/>
        <v>228000</v>
      </c>
      <c r="I95" s="2">
        <v>0.2</v>
      </c>
      <c r="J95" s="2">
        <f t="shared" si="4"/>
        <v>45600</v>
      </c>
      <c r="K95" s="2">
        <f t="shared" si="5"/>
        <v>182400</v>
      </c>
      <c r="L95" s="3">
        <v>45553</v>
      </c>
      <c r="M95" s="2">
        <v>231.79</v>
      </c>
    </row>
    <row r="96" spans="1:13" ht="15.75" customHeight="1" x14ac:dyDescent="0.3">
      <c r="A96" s="2" t="s">
        <v>75</v>
      </c>
      <c r="B96" s="2" t="s">
        <v>47</v>
      </c>
      <c r="C96" s="2" t="s">
        <v>20</v>
      </c>
      <c r="D96" s="2" t="s">
        <v>12</v>
      </c>
      <c r="E96" s="2">
        <v>966.3</v>
      </c>
      <c r="F96" s="2">
        <v>60</v>
      </c>
      <c r="G96" s="2">
        <v>2</v>
      </c>
      <c r="H96" s="2">
        <f t="shared" si="3"/>
        <v>120</v>
      </c>
      <c r="I96" s="2">
        <v>0.15</v>
      </c>
      <c r="J96" s="2">
        <f t="shared" si="4"/>
        <v>18</v>
      </c>
      <c r="K96" s="2">
        <f t="shared" si="5"/>
        <v>102</v>
      </c>
      <c r="L96" s="3">
        <v>45557</v>
      </c>
      <c r="M96" s="2">
        <v>328.54</v>
      </c>
    </row>
    <row r="97" spans="1:13" ht="15.75" customHeight="1" x14ac:dyDescent="0.3">
      <c r="A97" s="2" t="s">
        <v>68</v>
      </c>
      <c r="B97" s="2" t="s">
        <v>17</v>
      </c>
      <c r="C97" s="2" t="s">
        <v>20</v>
      </c>
      <c r="D97" s="2" t="s">
        <v>12</v>
      </c>
      <c r="E97" s="2">
        <v>917.48</v>
      </c>
      <c r="F97" s="2">
        <v>60</v>
      </c>
      <c r="G97" s="2">
        <v>6</v>
      </c>
      <c r="H97" s="2">
        <f t="shared" si="3"/>
        <v>360</v>
      </c>
      <c r="I97" s="2">
        <v>0</v>
      </c>
      <c r="J97" s="2">
        <f t="shared" si="4"/>
        <v>0</v>
      </c>
      <c r="K97" s="2">
        <f t="shared" si="5"/>
        <v>360</v>
      </c>
      <c r="L97" s="3">
        <v>45558</v>
      </c>
      <c r="M97" s="2">
        <v>366.99</v>
      </c>
    </row>
    <row r="98" spans="1:13" ht="15.75" customHeight="1" x14ac:dyDescent="0.3">
      <c r="A98" s="2" t="s">
        <v>41</v>
      </c>
      <c r="B98" s="2" t="s">
        <v>61</v>
      </c>
      <c r="C98" s="2" t="s">
        <v>11</v>
      </c>
      <c r="D98" s="2" t="s">
        <v>27</v>
      </c>
      <c r="E98" s="2">
        <v>1172.97</v>
      </c>
      <c r="F98" s="2">
        <v>40000</v>
      </c>
      <c r="G98" s="2">
        <v>7</v>
      </c>
      <c r="H98" s="2">
        <f t="shared" si="3"/>
        <v>280000</v>
      </c>
      <c r="I98" s="2">
        <v>0.15</v>
      </c>
      <c r="J98" s="2">
        <f t="shared" si="4"/>
        <v>42000</v>
      </c>
      <c r="K98" s="2">
        <f t="shared" si="5"/>
        <v>238000</v>
      </c>
      <c r="L98" s="3">
        <v>45559</v>
      </c>
      <c r="M98" s="2">
        <v>348.96</v>
      </c>
    </row>
    <row r="99" spans="1:13" ht="15.75" customHeight="1" x14ac:dyDescent="0.3">
      <c r="A99" s="2" t="s">
        <v>57</v>
      </c>
      <c r="B99" s="2" t="s">
        <v>23</v>
      </c>
      <c r="C99" s="2" t="s">
        <v>24</v>
      </c>
      <c r="D99" s="2" t="s">
        <v>15</v>
      </c>
      <c r="E99" s="2">
        <v>1205.82</v>
      </c>
      <c r="F99" s="2">
        <v>1150</v>
      </c>
      <c r="G99" s="2">
        <v>11</v>
      </c>
      <c r="H99" s="2">
        <f t="shared" si="3"/>
        <v>12650</v>
      </c>
      <c r="I99" s="2">
        <v>0.1</v>
      </c>
      <c r="J99" s="2">
        <f t="shared" si="4"/>
        <v>1265</v>
      </c>
      <c r="K99" s="2">
        <f t="shared" si="5"/>
        <v>11385</v>
      </c>
      <c r="L99" s="3">
        <v>45559</v>
      </c>
      <c r="M99" s="2">
        <v>542.62</v>
      </c>
    </row>
    <row r="100" spans="1:13" ht="15.75" customHeight="1" x14ac:dyDescent="0.3">
      <c r="A100" s="2" t="s">
        <v>16</v>
      </c>
      <c r="B100" s="2" t="s">
        <v>64</v>
      </c>
      <c r="C100" s="2" t="s">
        <v>11</v>
      </c>
      <c r="D100" s="2" t="s">
        <v>39</v>
      </c>
      <c r="E100" s="2">
        <v>826.93</v>
      </c>
      <c r="F100" s="2">
        <v>10000</v>
      </c>
      <c r="G100" s="2">
        <v>10</v>
      </c>
      <c r="H100" s="2">
        <f t="shared" si="3"/>
        <v>100000</v>
      </c>
      <c r="I100" s="2">
        <v>0.2</v>
      </c>
      <c r="J100" s="2">
        <f t="shared" si="4"/>
        <v>20000</v>
      </c>
      <c r="K100" s="2">
        <f t="shared" si="5"/>
        <v>80000</v>
      </c>
      <c r="L100" s="3">
        <v>45564</v>
      </c>
      <c r="M100" s="2">
        <v>297.69</v>
      </c>
    </row>
    <row r="101" spans="1:13" ht="15.75" customHeight="1" x14ac:dyDescent="0.3">
      <c r="A101" s="2" t="s">
        <v>67</v>
      </c>
      <c r="B101" s="2" t="s">
        <v>23</v>
      </c>
      <c r="C101" s="2" t="s">
        <v>34</v>
      </c>
      <c r="D101" s="2" t="s">
        <v>15</v>
      </c>
      <c r="E101" s="2">
        <v>902.19</v>
      </c>
      <c r="F101" s="2">
        <v>1150</v>
      </c>
      <c r="G101" s="2">
        <v>12</v>
      </c>
      <c r="H101" s="2">
        <f t="shared" si="3"/>
        <v>13800</v>
      </c>
      <c r="I101" s="2">
        <v>0</v>
      </c>
      <c r="J101" s="2">
        <f t="shared" si="4"/>
        <v>0</v>
      </c>
      <c r="K101" s="2">
        <f t="shared" si="5"/>
        <v>13800</v>
      </c>
      <c r="L101" s="3">
        <v>45564</v>
      </c>
      <c r="M101" s="2">
        <v>451.1</v>
      </c>
    </row>
    <row r="102" spans="1:13" ht="15.75" customHeight="1" x14ac:dyDescent="0.3">
      <c r="A102" s="2" t="s">
        <v>74</v>
      </c>
      <c r="B102" s="2" t="s">
        <v>38</v>
      </c>
      <c r="C102" s="2" t="s">
        <v>24</v>
      </c>
      <c r="D102" s="2" t="s">
        <v>12</v>
      </c>
      <c r="E102" s="2">
        <v>585.97</v>
      </c>
      <c r="F102" s="2">
        <v>60</v>
      </c>
      <c r="G102" s="2">
        <v>17</v>
      </c>
      <c r="H102" s="2">
        <f t="shared" si="3"/>
        <v>1020</v>
      </c>
      <c r="I102" s="2">
        <v>0.1</v>
      </c>
      <c r="J102" s="2">
        <f t="shared" si="4"/>
        <v>102</v>
      </c>
      <c r="K102" s="2">
        <f t="shared" si="5"/>
        <v>918</v>
      </c>
      <c r="L102" s="3">
        <v>45565</v>
      </c>
      <c r="M102" s="2">
        <v>210.95</v>
      </c>
    </row>
    <row r="103" spans="1:13" ht="15.75" customHeight="1" x14ac:dyDescent="0.3">
      <c r="A103" s="2" t="s">
        <v>60</v>
      </c>
      <c r="B103" s="2" t="s">
        <v>26</v>
      </c>
      <c r="C103" s="2" t="s">
        <v>24</v>
      </c>
      <c r="D103" s="2" t="s">
        <v>15</v>
      </c>
      <c r="E103" s="2">
        <v>990.19</v>
      </c>
      <c r="F103" s="2">
        <v>1150</v>
      </c>
      <c r="G103" s="2">
        <v>8</v>
      </c>
      <c r="H103" s="2">
        <f t="shared" si="3"/>
        <v>9200</v>
      </c>
      <c r="I103" s="2">
        <v>0.1</v>
      </c>
      <c r="J103" s="2">
        <f t="shared" si="4"/>
        <v>920</v>
      </c>
      <c r="K103" s="2">
        <f t="shared" si="5"/>
        <v>8280</v>
      </c>
      <c r="L103" s="3">
        <v>45565</v>
      </c>
      <c r="M103" s="2">
        <v>445.59</v>
      </c>
    </row>
    <row r="104" spans="1:13" ht="15.75" customHeight="1" x14ac:dyDescent="0.3">
      <c r="A104" s="2" t="s">
        <v>44</v>
      </c>
      <c r="B104" s="2" t="s">
        <v>56</v>
      </c>
      <c r="C104" s="2" t="s">
        <v>34</v>
      </c>
      <c r="D104" s="2" t="s">
        <v>21</v>
      </c>
      <c r="E104" s="2">
        <v>1014.09</v>
      </c>
      <c r="F104" s="2">
        <v>12000</v>
      </c>
      <c r="G104" s="2">
        <v>13</v>
      </c>
      <c r="H104" s="2">
        <f t="shared" si="3"/>
        <v>156000</v>
      </c>
      <c r="I104" s="2">
        <v>0.2</v>
      </c>
      <c r="J104" s="2">
        <f t="shared" si="4"/>
        <v>31200</v>
      </c>
      <c r="K104" s="2">
        <f t="shared" si="5"/>
        <v>124800</v>
      </c>
      <c r="L104" s="3">
        <v>45567</v>
      </c>
      <c r="M104" s="2">
        <v>202.82</v>
      </c>
    </row>
    <row r="105" spans="1:13" ht="15.75" customHeight="1" x14ac:dyDescent="0.3">
      <c r="A105" s="2" t="s">
        <v>13</v>
      </c>
      <c r="B105" s="2" t="s">
        <v>48</v>
      </c>
      <c r="C105" s="2" t="s">
        <v>24</v>
      </c>
      <c r="D105" s="2" t="s">
        <v>21</v>
      </c>
      <c r="E105" s="2">
        <v>925.29</v>
      </c>
      <c r="F105" s="2">
        <v>12000</v>
      </c>
      <c r="G105" s="2">
        <v>17</v>
      </c>
      <c r="H105" s="2">
        <f t="shared" si="3"/>
        <v>204000</v>
      </c>
      <c r="I105" s="2">
        <v>0</v>
      </c>
      <c r="J105" s="2">
        <f t="shared" si="4"/>
        <v>0</v>
      </c>
      <c r="K105" s="2">
        <f t="shared" si="5"/>
        <v>204000</v>
      </c>
      <c r="L105" s="3">
        <v>45570</v>
      </c>
      <c r="M105" s="2">
        <v>231.32</v>
      </c>
    </row>
    <row r="106" spans="1:13" ht="15.75" customHeight="1" x14ac:dyDescent="0.3">
      <c r="A106" s="2" t="s">
        <v>54</v>
      </c>
      <c r="B106" s="2" t="s">
        <v>47</v>
      </c>
      <c r="C106" s="2" t="s">
        <v>18</v>
      </c>
      <c r="D106" s="2" t="s">
        <v>27</v>
      </c>
      <c r="E106" s="2">
        <v>1286.54</v>
      </c>
      <c r="F106" s="2">
        <v>40000</v>
      </c>
      <c r="G106" s="2">
        <v>8</v>
      </c>
      <c r="H106" s="2">
        <f t="shared" si="3"/>
        <v>320000</v>
      </c>
      <c r="I106" s="2">
        <v>0</v>
      </c>
      <c r="J106" s="2">
        <f t="shared" si="4"/>
        <v>0</v>
      </c>
      <c r="K106" s="2">
        <f t="shared" si="5"/>
        <v>320000</v>
      </c>
      <c r="L106" s="3">
        <v>45575</v>
      </c>
      <c r="M106" s="2">
        <v>450.29</v>
      </c>
    </row>
    <row r="107" spans="1:13" ht="15.75" customHeight="1" x14ac:dyDescent="0.3">
      <c r="A107" s="2" t="s">
        <v>37</v>
      </c>
      <c r="B107" s="2" t="s">
        <v>64</v>
      </c>
      <c r="C107" s="2" t="s">
        <v>20</v>
      </c>
      <c r="D107" s="2" t="s">
        <v>12</v>
      </c>
      <c r="E107" s="2">
        <v>961.62</v>
      </c>
      <c r="F107" s="2">
        <v>60</v>
      </c>
      <c r="G107" s="2">
        <v>8</v>
      </c>
      <c r="H107" s="2">
        <f t="shared" si="3"/>
        <v>480</v>
      </c>
      <c r="I107" s="2">
        <v>0.2</v>
      </c>
      <c r="J107" s="2">
        <f t="shared" si="4"/>
        <v>96</v>
      </c>
      <c r="K107" s="2">
        <f t="shared" si="5"/>
        <v>384</v>
      </c>
      <c r="L107" s="3">
        <v>45577</v>
      </c>
      <c r="M107" s="2">
        <v>307.72000000000003</v>
      </c>
    </row>
    <row r="108" spans="1:13" ht="15.75" customHeight="1" x14ac:dyDescent="0.3">
      <c r="A108" s="2" t="s">
        <v>44</v>
      </c>
      <c r="B108" s="2" t="s">
        <v>23</v>
      </c>
      <c r="C108" s="2" t="s">
        <v>18</v>
      </c>
      <c r="D108" s="2" t="s">
        <v>12</v>
      </c>
      <c r="E108" s="2">
        <v>1081.1400000000001</v>
      </c>
      <c r="F108" s="2">
        <v>60</v>
      </c>
      <c r="G108" s="2">
        <v>19</v>
      </c>
      <c r="H108" s="2">
        <f t="shared" si="3"/>
        <v>1140</v>
      </c>
      <c r="I108" s="2">
        <v>0.15</v>
      </c>
      <c r="J108" s="2">
        <f t="shared" si="4"/>
        <v>171</v>
      </c>
      <c r="K108" s="2">
        <f t="shared" si="5"/>
        <v>969</v>
      </c>
      <c r="L108" s="3">
        <v>45577</v>
      </c>
      <c r="M108" s="2">
        <v>367.59</v>
      </c>
    </row>
    <row r="109" spans="1:13" ht="15.75" customHeight="1" x14ac:dyDescent="0.3">
      <c r="A109" s="2" t="s">
        <v>58</v>
      </c>
      <c r="B109" s="2" t="s">
        <v>23</v>
      </c>
      <c r="C109" s="2" t="s">
        <v>11</v>
      </c>
      <c r="D109" s="2" t="s">
        <v>15</v>
      </c>
      <c r="E109" s="2">
        <v>1923.66</v>
      </c>
      <c r="F109" s="2">
        <v>1150</v>
      </c>
      <c r="G109" s="2">
        <v>9</v>
      </c>
      <c r="H109" s="2">
        <f t="shared" si="3"/>
        <v>10350</v>
      </c>
      <c r="I109" s="2">
        <v>0.2</v>
      </c>
      <c r="J109" s="2">
        <f t="shared" si="4"/>
        <v>2070</v>
      </c>
      <c r="K109" s="2">
        <f t="shared" si="5"/>
        <v>8280</v>
      </c>
      <c r="L109" s="3">
        <v>45580</v>
      </c>
      <c r="M109" s="2">
        <v>769.46</v>
      </c>
    </row>
    <row r="110" spans="1:13" ht="15.75" customHeight="1" x14ac:dyDescent="0.3">
      <c r="A110" s="2" t="s">
        <v>54</v>
      </c>
      <c r="B110" s="2" t="s">
        <v>66</v>
      </c>
      <c r="C110" s="2" t="s">
        <v>34</v>
      </c>
      <c r="D110" s="2" t="s">
        <v>15</v>
      </c>
      <c r="E110" s="2">
        <v>728.71</v>
      </c>
      <c r="F110" s="2">
        <v>1150</v>
      </c>
      <c r="G110" s="2">
        <v>14</v>
      </c>
      <c r="H110" s="2">
        <f t="shared" si="3"/>
        <v>16100</v>
      </c>
      <c r="I110" s="2">
        <v>0.1</v>
      </c>
      <c r="J110" s="2">
        <f t="shared" si="4"/>
        <v>1610</v>
      </c>
      <c r="K110" s="2">
        <f t="shared" si="5"/>
        <v>14490</v>
      </c>
      <c r="L110" s="3">
        <v>45581</v>
      </c>
      <c r="M110" s="2">
        <v>327.92</v>
      </c>
    </row>
    <row r="111" spans="1:13" ht="15.75" customHeight="1" x14ac:dyDescent="0.3">
      <c r="A111" s="2" t="s">
        <v>9</v>
      </c>
      <c r="B111" s="2" t="s">
        <v>33</v>
      </c>
      <c r="C111" s="2" t="s">
        <v>34</v>
      </c>
      <c r="D111" s="2" t="s">
        <v>15</v>
      </c>
      <c r="E111" s="2">
        <v>1301.8900000000001</v>
      </c>
      <c r="F111" s="2">
        <v>1150</v>
      </c>
      <c r="G111" s="2">
        <v>7</v>
      </c>
      <c r="H111" s="2">
        <f t="shared" si="3"/>
        <v>8050</v>
      </c>
      <c r="I111" s="2">
        <v>0.15</v>
      </c>
      <c r="J111" s="2">
        <f t="shared" si="4"/>
        <v>1207.5</v>
      </c>
      <c r="K111" s="2">
        <f t="shared" si="5"/>
        <v>6842.5</v>
      </c>
      <c r="L111" s="3">
        <v>45581</v>
      </c>
      <c r="M111" s="2">
        <v>553.29999999999995</v>
      </c>
    </row>
    <row r="112" spans="1:13" ht="15.75" customHeight="1" x14ac:dyDescent="0.3">
      <c r="A112" s="2" t="s">
        <v>70</v>
      </c>
      <c r="B112" s="2" t="s">
        <v>66</v>
      </c>
      <c r="C112" s="2" t="s">
        <v>18</v>
      </c>
      <c r="D112" s="2" t="s">
        <v>12</v>
      </c>
      <c r="E112" s="2">
        <v>980.18</v>
      </c>
      <c r="F112" s="2">
        <v>60</v>
      </c>
      <c r="G112" s="2">
        <v>16</v>
      </c>
      <c r="H112" s="2">
        <f t="shared" si="3"/>
        <v>960</v>
      </c>
      <c r="I112" s="2">
        <v>0.1</v>
      </c>
      <c r="J112" s="2">
        <f t="shared" si="4"/>
        <v>96</v>
      </c>
      <c r="K112" s="2">
        <f t="shared" si="5"/>
        <v>864</v>
      </c>
      <c r="L112" s="3">
        <v>45582</v>
      </c>
      <c r="M112" s="2">
        <v>352.86</v>
      </c>
    </row>
    <row r="113" spans="1:13" ht="15.75" customHeight="1" x14ac:dyDescent="0.3">
      <c r="A113" s="2" t="s">
        <v>74</v>
      </c>
      <c r="B113" s="2" t="s">
        <v>23</v>
      </c>
      <c r="C113" s="2" t="s">
        <v>11</v>
      </c>
      <c r="D113" s="2" t="s">
        <v>15</v>
      </c>
      <c r="E113" s="2">
        <v>697.57</v>
      </c>
      <c r="F113" s="2">
        <v>1150</v>
      </c>
      <c r="G113" s="2">
        <v>17</v>
      </c>
      <c r="H113" s="2">
        <f t="shared" si="3"/>
        <v>19550</v>
      </c>
      <c r="I113" s="2">
        <v>0.1</v>
      </c>
      <c r="J113" s="2">
        <f t="shared" si="4"/>
        <v>1955</v>
      </c>
      <c r="K113" s="2">
        <f t="shared" si="5"/>
        <v>17595</v>
      </c>
      <c r="L113" s="3">
        <v>45584</v>
      </c>
      <c r="M113" s="2">
        <v>313.91000000000003</v>
      </c>
    </row>
    <row r="114" spans="1:13" ht="15.75" customHeight="1" x14ac:dyDescent="0.3">
      <c r="A114" s="2" t="s">
        <v>46</v>
      </c>
      <c r="B114" s="2" t="s">
        <v>71</v>
      </c>
      <c r="C114" s="2" t="s">
        <v>11</v>
      </c>
      <c r="D114" s="2" t="s">
        <v>27</v>
      </c>
      <c r="E114" s="2">
        <v>1193.6099999999999</v>
      </c>
      <c r="F114" s="2">
        <v>40000</v>
      </c>
      <c r="G114" s="2">
        <v>1</v>
      </c>
      <c r="H114" s="2">
        <f t="shared" si="3"/>
        <v>40000</v>
      </c>
      <c r="I114" s="2">
        <v>0.15</v>
      </c>
      <c r="J114" s="2">
        <f t="shared" si="4"/>
        <v>6000</v>
      </c>
      <c r="K114" s="2">
        <f t="shared" si="5"/>
        <v>34000</v>
      </c>
      <c r="L114" s="3">
        <v>45584</v>
      </c>
      <c r="M114" s="2">
        <v>355.1</v>
      </c>
    </row>
    <row r="115" spans="1:13" ht="15.75" customHeight="1" x14ac:dyDescent="0.3">
      <c r="A115" s="2" t="s">
        <v>32</v>
      </c>
      <c r="B115" s="2" t="s">
        <v>38</v>
      </c>
      <c r="C115" s="2" t="s">
        <v>20</v>
      </c>
      <c r="D115" s="2" t="s">
        <v>21</v>
      </c>
      <c r="E115" s="2">
        <v>771.02</v>
      </c>
      <c r="F115" s="2">
        <v>12000</v>
      </c>
      <c r="G115" s="2">
        <v>1</v>
      </c>
      <c r="H115" s="2">
        <f t="shared" si="3"/>
        <v>12000</v>
      </c>
      <c r="I115" s="2">
        <v>0</v>
      </c>
      <c r="J115" s="2">
        <f t="shared" si="4"/>
        <v>0</v>
      </c>
      <c r="K115" s="2">
        <f t="shared" si="5"/>
        <v>12000</v>
      </c>
      <c r="L115" s="3">
        <v>45585</v>
      </c>
      <c r="M115" s="2">
        <v>192.76</v>
      </c>
    </row>
    <row r="116" spans="1:13" ht="15.75" customHeight="1" x14ac:dyDescent="0.3">
      <c r="A116" s="2" t="s">
        <v>67</v>
      </c>
      <c r="B116" s="2" t="s">
        <v>69</v>
      </c>
      <c r="C116" s="2" t="s">
        <v>24</v>
      </c>
      <c r="D116" s="2" t="s">
        <v>15</v>
      </c>
      <c r="E116" s="2">
        <v>661.09</v>
      </c>
      <c r="F116" s="2">
        <v>1150</v>
      </c>
      <c r="G116" s="2">
        <v>1</v>
      </c>
      <c r="H116" s="2">
        <f t="shared" si="3"/>
        <v>1150</v>
      </c>
      <c r="I116" s="2">
        <v>0.2</v>
      </c>
      <c r="J116" s="2">
        <f t="shared" si="4"/>
        <v>230</v>
      </c>
      <c r="K116" s="2">
        <f t="shared" si="5"/>
        <v>920</v>
      </c>
      <c r="L116" s="3">
        <v>45593</v>
      </c>
      <c r="M116" s="2">
        <v>264.44</v>
      </c>
    </row>
    <row r="117" spans="1:13" ht="15.75" customHeight="1" x14ac:dyDescent="0.3">
      <c r="A117" s="2" t="s">
        <v>13</v>
      </c>
      <c r="B117" s="2" t="s">
        <v>55</v>
      </c>
      <c r="C117" s="2" t="s">
        <v>11</v>
      </c>
      <c r="D117" s="2" t="s">
        <v>21</v>
      </c>
      <c r="E117" s="2">
        <v>688.83</v>
      </c>
      <c r="F117" s="2">
        <v>12000</v>
      </c>
      <c r="G117" s="2">
        <v>15</v>
      </c>
      <c r="H117" s="2">
        <f t="shared" si="3"/>
        <v>180000</v>
      </c>
      <c r="I117" s="2">
        <v>0</v>
      </c>
      <c r="J117" s="2">
        <f t="shared" si="4"/>
        <v>0</v>
      </c>
      <c r="K117" s="2">
        <f t="shared" si="5"/>
        <v>180000</v>
      </c>
      <c r="L117" s="3">
        <v>45595</v>
      </c>
      <c r="M117" s="2">
        <v>172.21</v>
      </c>
    </row>
    <row r="118" spans="1:13" ht="15.75" customHeight="1" x14ac:dyDescent="0.3">
      <c r="A118" s="2" t="s">
        <v>73</v>
      </c>
      <c r="B118" s="2" t="s">
        <v>29</v>
      </c>
      <c r="C118" s="2" t="s">
        <v>34</v>
      </c>
      <c r="D118" s="2" t="s">
        <v>12</v>
      </c>
      <c r="E118" s="2">
        <v>1249.0999999999999</v>
      </c>
      <c r="F118" s="2">
        <v>60</v>
      </c>
      <c r="G118" s="2">
        <v>4</v>
      </c>
      <c r="H118" s="2">
        <f t="shared" si="3"/>
        <v>240</v>
      </c>
      <c r="I118" s="2">
        <v>0.05</v>
      </c>
      <c r="J118" s="2">
        <f t="shared" si="4"/>
        <v>12</v>
      </c>
      <c r="K118" s="2">
        <f t="shared" si="5"/>
        <v>228</v>
      </c>
      <c r="L118" s="3">
        <v>45597</v>
      </c>
      <c r="M118" s="2">
        <v>474.66</v>
      </c>
    </row>
    <row r="119" spans="1:13" ht="15.75" customHeight="1" x14ac:dyDescent="0.3">
      <c r="A119" s="2" t="s">
        <v>44</v>
      </c>
      <c r="B119" s="2" t="s">
        <v>23</v>
      </c>
      <c r="C119" s="2" t="s">
        <v>18</v>
      </c>
      <c r="D119" s="2" t="s">
        <v>39</v>
      </c>
      <c r="E119" s="2">
        <v>1014.22</v>
      </c>
      <c r="F119" s="2">
        <v>10000</v>
      </c>
      <c r="G119" s="2">
        <v>14</v>
      </c>
      <c r="H119" s="2">
        <f t="shared" si="3"/>
        <v>140000</v>
      </c>
      <c r="I119" s="2">
        <v>0.05</v>
      </c>
      <c r="J119" s="2">
        <f t="shared" si="4"/>
        <v>7000</v>
      </c>
      <c r="K119" s="2">
        <f t="shared" si="5"/>
        <v>133000</v>
      </c>
      <c r="L119" s="3">
        <v>45599</v>
      </c>
      <c r="M119" s="2">
        <v>433.58</v>
      </c>
    </row>
    <row r="120" spans="1:13" ht="15.75" customHeight="1" x14ac:dyDescent="0.3">
      <c r="A120" s="2" t="s">
        <v>54</v>
      </c>
      <c r="B120" s="2" t="s">
        <v>48</v>
      </c>
      <c r="C120" s="2" t="s">
        <v>18</v>
      </c>
      <c r="D120" s="2" t="s">
        <v>12</v>
      </c>
      <c r="E120" s="2">
        <v>1010.58</v>
      </c>
      <c r="F120" s="2">
        <v>60</v>
      </c>
      <c r="G120" s="2">
        <v>2</v>
      </c>
      <c r="H120" s="2">
        <f t="shared" si="3"/>
        <v>120</v>
      </c>
      <c r="I120" s="2">
        <v>0.15</v>
      </c>
      <c r="J120" s="2">
        <f t="shared" si="4"/>
        <v>18</v>
      </c>
      <c r="K120" s="2">
        <f t="shared" si="5"/>
        <v>102</v>
      </c>
      <c r="L120" s="3">
        <v>45605</v>
      </c>
      <c r="M120" s="2">
        <v>343.6</v>
      </c>
    </row>
    <row r="121" spans="1:13" ht="15.75" customHeight="1" x14ac:dyDescent="0.3">
      <c r="A121" s="2" t="s">
        <v>30</v>
      </c>
      <c r="B121" s="2" t="s">
        <v>59</v>
      </c>
      <c r="C121" s="2" t="s">
        <v>24</v>
      </c>
      <c r="D121" s="2" t="s">
        <v>27</v>
      </c>
      <c r="E121" s="2">
        <v>957.29</v>
      </c>
      <c r="F121" s="2">
        <v>40000</v>
      </c>
      <c r="G121" s="2">
        <v>4</v>
      </c>
      <c r="H121" s="2">
        <f t="shared" si="3"/>
        <v>160000</v>
      </c>
      <c r="I121" s="2">
        <v>0.05</v>
      </c>
      <c r="J121" s="2">
        <f t="shared" si="4"/>
        <v>8000</v>
      </c>
      <c r="K121" s="2">
        <f t="shared" si="5"/>
        <v>152000</v>
      </c>
      <c r="L121" s="3">
        <v>45605</v>
      </c>
      <c r="M121" s="2">
        <v>318.3</v>
      </c>
    </row>
    <row r="122" spans="1:13" ht="15.75" customHeight="1" x14ac:dyDescent="0.3">
      <c r="A122" s="2" t="s">
        <v>28</v>
      </c>
      <c r="B122" s="2" t="s">
        <v>45</v>
      </c>
      <c r="C122" s="2" t="s">
        <v>24</v>
      </c>
      <c r="D122" s="2" t="s">
        <v>27</v>
      </c>
      <c r="E122" s="2">
        <v>1077.92</v>
      </c>
      <c r="F122" s="2">
        <v>40000</v>
      </c>
      <c r="G122" s="2">
        <v>3</v>
      </c>
      <c r="H122" s="2">
        <f t="shared" si="3"/>
        <v>120000</v>
      </c>
      <c r="I122" s="2">
        <v>0.05</v>
      </c>
      <c r="J122" s="2">
        <f t="shared" si="4"/>
        <v>6000</v>
      </c>
      <c r="K122" s="2">
        <f t="shared" si="5"/>
        <v>114000</v>
      </c>
      <c r="L122" s="3">
        <v>45608</v>
      </c>
      <c r="M122" s="2">
        <v>358.41</v>
      </c>
    </row>
    <row r="123" spans="1:13" ht="15.75" customHeight="1" x14ac:dyDescent="0.3">
      <c r="A123" s="2" t="s">
        <v>52</v>
      </c>
      <c r="B123" s="2" t="s">
        <v>50</v>
      </c>
      <c r="C123" s="2" t="s">
        <v>20</v>
      </c>
      <c r="D123" s="2" t="s">
        <v>15</v>
      </c>
      <c r="E123" s="2">
        <v>1163.01</v>
      </c>
      <c r="F123" s="2">
        <v>1150</v>
      </c>
      <c r="G123" s="2">
        <v>5</v>
      </c>
      <c r="H123" s="2">
        <f t="shared" si="3"/>
        <v>5750</v>
      </c>
      <c r="I123" s="2">
        <v>0</v>
      </c>
      <c r="J123" s="2">
        <f t="shared" si="4"/>
        <v>0</v>
      </c>
      <c r="K123" s="2">
        <f t="shared" si="5"/>
        <v>5750</v>
      </c>
      <c r="L123" s="3">
        <v>45611</v>
      </c>
      <c r="M123" s="2">
        <v>581.5</v>
      </c>
    </row>
    <row r="124" spans="1:13" ht="15.75" customHeight="1" x14ac:dyDescent="0.3">
      <c r="A124" s="2" t="s">
        <v>54</v>
      </c>
      <c r="B124" s="2" t="s">
        <v>45</v>
      </c>
      <c r="C124" s="2" t="s">
        <v>18</v>
      </c>
      <c r="D124" s="2" t="s">
        <v>39</v>
      </c>
      <c r="E124" s="2">
        <v>1014.56</v>
      </c>
      <c r="F124" s="2">
        <v>10000</v>
      </c>
      <c r="G124" s="2">
        <v>10</v>
      </c>
      <c r="H124" s="2">
        <f t="shared" si="3"/>
        <v>100000</v>
      </c>
      <c r="I124" s="2">
        <v>0.1</v>
      </c>
      <c r="J124" s="2">
        <f t="shared" si="4"/>
        <v>10000</v>
      </c>
      <c r="K124" s="2">
        <f t="shared" si="5"/>
        <v>90000</v>
      </c>
      <c r="L124" s="3">
        <v>45612</v>
      </c>
      <c r="M124" s="2">
        <v>410.9</v>
      </c>
    </row>
    <row r="125" spans="1:13" ht="15.75" customHeight="1" x14ac:dyDescent="0.3">
      <c r="A125" s="2" t="s">
        <v>9</v>
      </c>
      <c r="B125" s="2" t="s">
        <v>17</v>
      </c>
      <c r="C125" s="2" t="s">
        <v>20</v>
      </c>
      <c r="D125" s="2" t="s">
        <v>21</v>
      </c>
      <c r="E125" s="2">
        <v>718.04</v>
      </c>
      <c r="F125" s="2">
        <v>12000</v>
      </c>
      <c r="G125" s="2">
        <v>14</v>
      </c>
      <c r="H125" s="2">
        <f t="shared" si="3"/>
        <v>168000</v>
      </c>
      <c r="I125" s="2">
        <v>0</v>
      </c>
      <c r="J125" s="2">
        <f t="shared" si="4"/>
        <v>0</v>
      </c>
      <c r="K125" s="2">
        <f t="shared" si="5"/>
        <v>168000</v>
      </c>
      <c r="L125" s="3">
        <v>45613</v>
      </c>
      <c r="M125" s="2">
        <v>179.51</v>
      </c>
    </row>
    <row r="126" spans="1:13" ht="15.75" customHeight="1" x14ac:dyDescent="0.3">
      <c r="A126" s="2" t="s">
        <v>72</v>
      </c>
      <c r="B126" s="2" t="s">
        <v>17</v>
      </c>
      <c r="C126" s="2" t="s">
        <v>34</v>
      </c>
      <c r="D126" s="2" t="s">
        <v>15</v>
      </c>
      <c r="E126" s="2">
        <v>1277.8499999999999</v>
      </c>
      <c r="F126" s="2">
        <v>1150</v>
      </c>
      <c r="G126" s="2">
        <v>18</v>
      </c>
      <c r="H126" s="2">
        <f t="shared" si="3"/>
        <v>20700</v>
      </c>
      <c r="I126" s="2">
        <v>0.2</v>
      </c>
      <c r="J126" s="2">
        <f t="shared" si="4"/>
        <v>4140</v>
      </c>
      <c r="K126" s="2">
        <f t="shared" si="5"/>
        <v>16560</v>
      </c>
      <c r="L126" s="3">
        <v>45613</v>
      </c>
      <c r="M126" s="2">
        <v>511.14</v>
      </c>
    </row>
    <row r="127" spans="1:13" ht="15.75" customHeight="1" x14ac:dyDescent="0.3">
      <c r="A127" s="2" t="s">
        <v>70</v>
      </c>
      <c r="B127" s="2" t="s">
        <v>23</v>
      </c>
      <c r="C127" s="2" t="s">
        <v>24</v>
      </c>
      <c r="D127" s="2" t="s">
        <v>21</v>
      </c>
      <c r="E127" s="2">
        <v>706.73</v>
      </c>
      <c r="F127" s="2">
        <v>12000</v>
      </c>
      <c r="G127" s="2">
        <v>1</v>
      </c>
      <c r="H127" s="2">
        <f t="shared" si="3"/>
        <v>12000</v>
      </c>
      <c r="I127" s="2">
        <v>0.15</v>
      </c>
      <c r="J127" s="2">
        <f t="shared" si="4"/>
        <v>1800</v>
      </c>
      <c r="K127" s="2">
        <f t="shared" si="5"/>
        <v>10200</v>
      </c>
      <c r="L127" s="3">
        <v>45613</v>
      </c>
      <c r="M127" s="2">
        <v>150.18</v>
      </c>
    </row>
    <row r="128" spans="1:13" ht="15.75" customHeight="1" x14ac:dyDescent="0.3">
      <c r="A128" s="2" t="s">
        <v>65</v>
      </c>
      <c r="B128" s="2" t="s">
        <v>50</v>
      </c>
      <c r="C128" s="2" t="s">
        <v>18</v>
      </c>
      <c r="D128" s="2" t="s">
        <v>21</v>
      </c>
      <c r="E128" s="2">
        <v>1410.59</v>
      </c>
      <c r="F128" s="2">
        <v>12000</v>
      </c>
      <c r="G128" s="2">
        <v>15</v>
      </c>
      <c r="H128" s="2">
        <f t="shared" si="3"/>
        <v>180000</v>
      </c>
      <c r="I128" s="2">
        <v>0</v>
      </c>
      <c r="J128" s="2">
        <f t="shared" si="4"/>
        <v>0</v>
      </c>
      <c r="K128" s="2">
        <f t="shared" si="5"/>
        <v>180000</v>
      </c>
      <c r="L128" s="3">
        <v>45615</v>
      </c>
      <c r="M128" s="2">
        <v>352.65</v>
      </c>
    </row>
    <row r="129" spans="1:13" ht="15.75" customHeight="1" x14ac:dyDescent="0.3">
      <c r="A129" s="2" t="s">
        <v>32</v>
      </c>
      <c r="B129" s="2" t="s">
        <v>61</v>
      </c>
      <c r="C129" s="2" t="s">
        <v>20</v>
      </c>
      <c r="D129" s="2" t="s">
        <v>27</v>
      </c>
      <c r="E129" s="2">
        <v>1350.33</v>
      </c>
      <c r="F129" s="2">
        <v>40000</v>
      </c>
      <c r="G129" s="2">
        <v>10</v>
      </c>
      <c r="H129" s="2">
        <f t="shared" si="3"/>
        <v>400000</v>
      </c>
      <c r="I129" s="2">
        <v>0</v>
      </c>
      <c r="J129" s="2">
        <f t="shared" si="4"/>
        <v>0</v>
      </c>
      <c r="K129" s="2">
        <f t="shared" si="5"/>
        <v>400000</v>
      </c>
      <c r="L129" s="3">
        <v>45615</v>
      </c>
      <c r="M129" s="2">
        <v>472.62</v>
      </c>
    </row>
    <row r="130" spans="1:13" ht="15.75" customHeight="1" x14ac:dyDescent="0.3">
      <c r="A130" s="2" t="s">
        <v>41</v>
      </c>
      <c r="B130" s="2" t="s">
        <v>45</v>
      </c>
      <c r="C130" s="2" t="s">
        <v>18</v>
      </c>
      <c r="D130" s="2" t="s">
        <v>21</v>
      </c>
      <c r="E130" s="2">
        <v>919.18</v>
      </c>
      <c r="F130" s="2">
        <v>12000</v>
      </c>
      <c r="G130" s="2">
        <v>4</v>
      </c>
      <c r="H130" s="2">
        <f t="shared" si="3"/>
        <v>48000</v>
      </c>
      <c r="I130" s="2">
        <v>0.15</v>
      </c>
      <c r="J130" s="2">
        <f t="shared" si="4"/>
        <v>7200</v>
      </c>
      <c r="K130" s="2">
        <f t="shared" si="5"/>
        <v>40800</v>
      </c>
      <c r="L130" s="3">
        <v>45615</v>
      </c>
      <c r="M130" s="2">
        <v>195.33</v>
      </c>
    </row>
    <row r="131" spans="1:13" ht="15.75" customHeight="1" x14ac:dyDescent="0.3">
      <c r="A131" s="2" t="s">
        <v>74</v>
      </c>
      <c r="B131" s="2" t="s">
        <v>23</v>
      </c>
      <c r="C131" s="2" t="s">
        <v>11</v>
      </c>
      <c r="D131" s="2" t="s">
        <v>21</v>
      </c>
      <c r="E131" s="2">
        <v>258.51</v>
      </c>
      <c r="F131" s="2">
        <v>12000</v>
      </c>
      <c r="G131" s="2">
        <v>19</v>
      </c>
      <c r="H131" s="2">
        <f t="shared" ref="H131:H194" si="6">F131*G131</f>
        <v>228000</v>
      </c>
      <c r="I131" s="2">
        <v>0</v>
      </c>
      <c r="J131" s="2">
        <f t="shared" ref="J131:J194" si="7">H131*I131</f>
        <v>0</v>
      </c>
      <c r="K131" s="2">
        <f t="shared" ref="K131:K194" si="8">H131-J131</f>
        <v>228000</v>
      </c>
      <c r="L131" s="3">
        <v>45616</v>
      </c>
      <c r="M131" s="2">
        <v>64.63</v>
      </c>
    </row>
    <row r="132" spans="1:13" ht="15.75" customHeight="1" x14ac:dyDescent="0.3">
      <c r="A132" s="2" t="s">
        <v>63</v>
      </c>
      <c r="B132" s="2" t="s">
        <v>61</v>
      </c>
      <c r="C132" s="2" t="s">
        <v>18</v>
      </c>
      <c r="D132" s="2" t="s">
        <v>12</v>
      </c>
      <c r="E132" s="2">
        <v>1213.48</v>
      </c>
      <c r="F132" s="2">
        <v>60</v>
      </c>
      <c r="G132" s="2">
        <v>5</v>
      </c>
      <c r="H132" s="2">
        <f t="shared" si="6"/>
        <v>300</v>
      </c>
      <c r="I132" s="2">
        <v>0.05</v>
      </c>
      <c r="J132" s="2">
        <f t="shared" si="7"/>
        <v>15</v>
      </c>
      <c r="K132" s="2">
        <f t="shared" si="8"/>
        <v>285</v>
      </c>
      <c r="L132" s="3">
        <v>45616</v>
      </c>
      <c r="M132" s="2">
        <v>461.12</v>
      </c>
    </row>
    <row r="133" spans="1:13" ht="15.75" customHeight="1" x14ac:dyDescent="0.3">
      <c r="A133" s="2" t="s">
        <v>57</v>
      </c>
      <c r="B133" s="2" t="s">
        <v>38</v>
      </c>
      <c r="C133" s="2" t="s">
        <v>34</v>
      </c>
      <c r="D133" s="2" t="s">
        <v>12</v>
      </c>
      <c r="E133" s="2">
        <v>1150.28</v>
      </c>
      <c r="F133" s="2">
        <v>60</v>
      </c>
      <c r="G133" s="2">
        <v>8</v>
      </c>
      <c r="H133" s="2">
        <f t="shared" si="6"/>
        <v>480</v>
      </c>
      <c r="I133" s="2">
        <v>0.05</v>
      </c>
      <c r="J133" s="2">
        <f t="shared" si="7"/>
        <v>24</v>
      </c>
      <c r="K133" s="2">
        <f t="shared" si="8"/>
        <v>456</v>
      </c>
      <c r="L133" s="3">
        <v>45622</v>
      </c>
      <c r="M133" s="2">
        <v>437.11</v>
      </c>
    </row>
    <row r="134" spans="1:13" ht="15.75" customHeight="1" x14ac:dyDescent="0.3">
      <c r="A134" s="2" t="s">
        <v>37</v>
      </c>
      <c r="B134" s="2" t="s">
        <v>71</v>
      </c>
      <c r="C134" s="2" t="s">
        <v>20</v>
      </c>
      <c r="D134" s="2" t="s">
        <v>27</v>
      </c>
      <c r="E134" s="2">
        <v>853.86</v>
      </c>
      <c r="F134" s="2">
        <v>40000</v>
      </c>
      <c r="G134" s="2">
        <v>8</v>
      </c>
      <c r="H134" s="2">
        <f t="shared" si="6"/>
        <v>320000</v>
      </c>
      <c r="I134" s="2">
        <v>0.1</v>
      </c>
      <c r="J134" s="2">
        <f t="shared" si="7"/>
        <v>32000</v>
      </c>
      <c r="K134" s="2">
        <f t="shared" si="8"/>
        <v>288000</v>
      </c>
      <c r="L134" s="3">
        <v>45622</v>
      </c>
      <c r="M134" s="2">
        <v>268.97000000000003</v>
      </c>
    </row>
    <row r="135" spans="1:13" ht="15.75" customHeight="1" x14ac:dyDescent="0.3">
      <c r="A135" s="2" t="s">
        <v>75</v>
      </c>
      <c r="B135" s="2" t="s">
        <v>45</v>
      </c>
      <c r="C135" s="2" t="s">
        <v>20</v>
      </c>
      <c r="D135" s="2" t="s">
        <v>21</v>
      </c>
      <c r="E135" s="2">
        <v>1061.04</v>
      </c>
      <c r="F135" s="2">
        <v>12000</v>
      </c>
      <c r="G135" s="2">
        <v>1</v>
      </c>
      <c r="H135" s="2">
        <f t="shared" si="6"/>
        <v>12000</v>
      </c>
      <c r="I135" s="2">
        <v>0</v>
      </c>
      <c r="J135" s="2">
        <f t="shared" si="7"/>
        <v>0</v>
      </c>
      <c r="K135" s="2">
        <f t="shared" si="8"/>
        <v>12000</v>
      </c>
      <c r="L135" s="3">
        <v>45624</v>
      </c>
      <c r="M135" s="2">
        <v>265.26</v>
      </c>
    </row>
    <row r="136" spans="1:13" ht="15.75" customHeight="1" x14ac:dyDescent="0.3">
      <c r="A136" s="2" t="s">
        <v>28</v>
      </c>
      <c r="B136" s="2" t="s">
        <v>43</v>
      </c>
      <c r="C136" s="2" t="s">
        <v>11</v>
      </c>
      <c r="D136" s="2" t="s">
        <v>21</v>
      </c>
      <c r="E136" s="2">
        <v>894.55</v>
      </c>
      <c r="F136" s="2">
        <v>12000</v>
      </c>
      <c r="G136" s="2">
        <v>19</v>
      </c>
      <c r="H136" s="2">
        <f t="shared" si="6"/>
        <v>228000</v>
      </c>
      <c r="I136" s="2">
        <v>0.2</v>
      </c>
      <c r="J136" s="2">
        <f t="shared" si="7"/>
        <v>45600</v>
      </c>
      <c r="K136" s="2">
        <f t="shared" si="8"/>
        <v>182400</v>
      </c>
      <c r="L136" s="3">
        <v>45625</v>
      </c>
      <c r="M136" s="2">
        <v>178.91</v>
      </c>
    </row>
    <row r="137" spans="1:13" ht="15.75" customHeight="1" x14ac:dyDescent="0.3">
      <c r="A137" s="2" t="s">
        <v>25</v>
      </c>
      <c r="B137" s="2" t="s">
        <v>38</v>
      </c>
      <c r="C137" s="2" t="s">
        <v>24</v>
      </c>
      <c r="D137" s="2" t="s">
        <v>39</v>
      </c>
      <c r="E137" s="2">
        <v>833.91</v>
      </c>
      <c r="F137" s="2">
        <v>10000</v>
      </c>
      <c r="G137" s="2">
        <v>3</v>
      </c>
      <c r="H137" s="2">
        <f t="shared" si="6"/>
        <v>30000</v>
      </c>
      <c r="I137" s="2">
        <v>0.05</v>
      </c>
      <c r="J137" s="2">
        <f t="shared" si="7"/>
        <v>1500</v>
      </c>
      <c r="K137" s="2">
        <f t="shared" si="8"/>
        <v>28500</v>
      </c>
      <c r="L137" s="3">
        <v>45626</v>
      </c>
      <c r="M137" s="2">
        <v>356.5</v>
      </c>
    </row>
    <row r="138" spans="1:13" ht="15.75" customHeight="1" x14ac:dyDescent="0.3">
      <c r="A138" s="2" t="s">
        <v>58</v>
      </c>
      <c r="B138" s="2" t="s">
        <v>71</v>
      </c>
      <c r="C138" s="2" t="s">
        <v>11</v>
      </c>
      <c r="D138" s="2" t="s">
        <v>27</v>
      </c>
      <c r="E138" s="2">
        <v>820.19</v>
      </c>
      <c r="F138" s="2">
        <v>40000</v>
      </c>
      <c r="G138" s="2">
        <v>4</v>
      </c>
      <c r="H138" s="2">
        <f t="shared" si="6"/>
        <v>160000</v>
      </c>
      <c r="I138" s="2">
        <v>0.2</v>
      </c>
      <c r="J138" s="2">
        <f t="shared" si="7"/>
        <v>32000</v>
      </c>
      <c r="K138" s="2">
        <f t="shared" si="8"/>
        <v>128000</v>
      </c>
      <c r="L138" s="3">
        <v>45630</v>
      </c>
      <c r="M138" s="2">
        <v>229.65</v>
      </c>
    </row>
    <row r="139" spans="1:13" ht="15.75" customHeight="1" x14ac:dyDescent="0.3">
      <c r="A139" s="2" t="s">
        <v>58</v>
      </c>
      <c r="B139" s="2" t="s">
        <v>38</v>
      </c>
      <c r="C139" s="2" t="s">
        <v>34</v>
      </c>
      <c r="D139" s="2" t="s">
        <v>21</v>
      </c>
      <c r="E139" s="2">
        <v>511.74</v>
      </c>
      <c r="F139" s="2">
        <v>12000</v>
      </c>
      <c r="G139" s="2">
        <v>8</v>
      </c>
      <c r="H139" s="2">
        <f t="shared" si="6"/>
        <v>96000</v>
      </c>
      <c r="I139" s="2">
        <v>0.05</v>
      </c>
      <c r="J139" s="2">
        <f t="shared" si="7"/>
        <v>4800</v>
      </c>
      <c r="K139" s="2">
        <f t="shared" si="8"/>
        <v>91200</v>
      </c>
      <c r="L139" s="3">
        <v>45631</v>
      </c>
      <c r="M139" s="2">
        <v>121.54</v>
      </c>
    </row>
    <row r="140" spans="1:13" ht="15.75" customHeight="1" x14ac:dyDescent="0.3">
      <c r="A140" s="2" t="s">
        <v>65</v>
      </c>
      <c r="B140" s="2" t="s">
        <v>61</v>
      </c>
      <c r="C140" s="2" t="s">
        <v>20</v>
      </c>
      <c r="D140" s="2" t="s">
        <v>27</v>
      </c>
      <c r="E140" s="2">
        <v>806.03</v>
      </c>
      <c r="F140" s="2">
        <v>40000</v>
      </c>
      <c r="G140" s="2">
        <v>19</v>
      </c>
      <c r="H140" s="2">
        <f t="shared" si="6"/>
        <v>760000</v>
      </c>
      <c r="I140" s="2">
        <v>0.05</v>
      </c>
      <c r="J140" s="2">
        <f t="shared" si="7"/>
        <v>38000</v>
      </c>
      <c r="K140" s="2">
        <f t="shared" si="8"/>
        <v>722000</v>
      </c>
      <c r="L140" s="3">
        <v>45638</v>
      </c>
      <c r="M140" s="2">
        <v>268</v>
      </c>
    </row>
    <row r="141" spans="1:13" ht="15.75" customHeight="1" x14ac:dyDescent="0.3">
      <c r="A141" s="2" t="s">
        <v>28</v>
      </c>
      <c r="B141" s="2" t="s">
        <v>26</v>
      </c>
      <c r="C141" s="2" t="s">
        <v>34</v>
      </c>
      <c r="D141" s="2" t="s">
        <v>27</v>
      </c>
      <c r="E141" s="2">
        <v>1432.47</v>
      </c>
      <c r="F141" s="2">
        <v>40000</v>
      </c>
      <c r="G141" s="2">
        <v>16</v>
      </c>
      <c r="H141" s="2">
        <f t="shared" si="6"/>
        <v>640000</v>
      </c>
      <c r="I141" s="2">
        <v>0.15</v>
      </c>
      <c r="J141" s="2">
        <f t="shared" si="7"/>
        <v>96000</v>
      </c>
      <c r="K141" s="2">
        <f t="shared" si="8"/>
        <v>544000</v>
      </c>
      <c r="L141" s="3">
        <v>45640</v>
      </c>
      <c r="M141" s="2">
        <v>426.16</v>
      </c>
    </row>
    <row r="142" spans="1:13" ht="15.75" customHeight="1" x14ac:dyDescent="0.3">
      <c r="A142" s="2" t="s">
        <v>74</v>
      </c>
      <c r="B142" s="2" t="s">
        <v>29</v>
      </c>
      <c r="C142" s="2" t="s">
        <v>34</v>
      </c>
      <c r="D142" s="2" t="s">
        <v>21</v>
      </c>
      <c r="E142" s="2">
        <v>1488.58</v>
      </c>
      <c r="F142" s="2">
        <v>12000</v>
      </c>
      <c r="G142" s="2">
        <v>10</v>
      </c>
      <c r="H142" s="2">
        <f t="shared" si="6"/>
        <v>120000</v>
      </c>
      <c r="I142" s="2">
        <v>0.15</v>
      </c>
      <c r="J142" s="2">
        <f t="shared" si="7"/>
        <v>18000</v>
      </c>
      <c r="K142" s="2">
        <f t="shared" si="8"/>
        <v>102000</v>
      </c>
      <c r="L142" s="3">
        <v>45640</v>
      </c>
      <c r="M142" s="2">
        <v>316.32</v>
      </c>
    </row>
    <row r="143" spans="1:13" ht="15.75" customHeight="1" x14ac:dyDescent="0.3">
      <c r="A143" s="2" t="s">
        <v>30</v>
      </c>
      <c r="B143" s="2" t="s">
        <v>66</v>
      </c>
      <c r="C143" s="2" t="s">
        <v>18</v>
      </c>
      <c r="D143" s="2" t="s">
        <v>12</v>
      </c>
      <c r="E143" s="2">
        <v>1231.26</v>
      </c>
      <c r="F143" s="2">
        <v>60</v>
      </c>
      <c r="G143" s="2">
        <v>9</v>
      </c>
      <c r="H143" s="2">
        <f t="shared" si="6"/>
        <v>540</v>
      </c>
      <c r="I143" s="2">
        <v>0</v>
      </c>
      <c r="J143" s="2">
        <f t="shared" si="7"/>
        <v>0</v>
      </c>
      <c r="K143" s="2">
        <f t="shared" si="8"/>
        <v>540</v>
      </c>
      <c r="L143" s="3">
        <v>45646</v>
      </c>
      <c r="M143" s="2">
        <v>492.5</v>
      </c>
    </row>
    <row r="144" spans="1:13" ht="15.75" customHeight="1" x14ac:dyDescent="0.3">
      <c r="A144" s="2" t="s">
        <v>30</v>
      </c>
      <c r="B144" s="2" t="s">
        <v>43</v>
      </c>
      <c r="C144" s="2" t="s">
        <v>11</v>
      </c>
      <c r="D144" s="2" t="s">
        <v>21</v>
      </c>
      <c r="E144" s="2">
        <v>1161.67</v>
      </c>
      <c r="F144" s="2">
        <v>12000</v>
      </c>
      <c r="G144" s="2">
        <v>19</v>
      </c>
      <c r="H144" s="2">
        <f t="shared" si="6"/>
        <v>228000</v>
      </c>
      <c r="I144" s="2">
        <v>0.2</v>
      </c>
      <c r="J144" s="2">
        <f t="shared" si="7"/>
        <v>45600</v>
      </c>
      <c r="K144" s="2">
        <f t="shared" si="8"/>
        <v>182400</v>
      </c>
      <c r="L144" s="3">
        <v>45647</v>
      </c>
      <c r="M144" s="2">
        <v>232.33</v>
      </c>
    </row>
    <row r="145" spans="1:13" ht="15.75" customHeight="1" x14ac:dyDescent="0.3">
      <c r="A145" s="2" t="s">
        <v>49</v>
      </c>
      <c r="B145" s="2" t="s">
        <v>45</v>
      </c>
      <c r="C145" s="2" t="s">
        <v>34</v>
      </c>
      <c r="D145" s="2" t="s">
        <v>39</v>
      </c>
      <c r="E145" s="2">
        <v>388.23</v>
      </c>
      <c r="F145" s="2">
        <v>10000</v>
      </c>
      <c r="G145" s="2">
        <v>16</v>
      </c>
      <c r="H145" s="2">
        <f t="shared" si="6"/>
        <v>160000</v>
      </c>
      <c r="I145" s="2">
        <v>0.05</v>
      </c>
      <c r="J145" s="2">
        <f t="shared" si="7"/>
        <v>8000</v>
      </c>
      <c r="K145" s="2">
        <f t="shared" si="8"/>
        <v>152000</v>
      </c>
      <c r="L145" s="3">
        <v>45650</v>
      </c>
      <c r="M145" s="2">
        <v>165.97</v>
      </c>
    </row>
    <row r="146" spans="1:13" ht="15.75" customHeight="1" x14ac:dyDescent="0.3">
      <c r="A146" s="2" t="s">
        <v>72</v>
      </c>
      <c r="B146" s="2" t="s">
        <v>31</v>
      </c>
      <c r="C146" s="2" t="s">
        <v>24</v>
      </c>
      <c r="D146" s="2" t="s">
        <v>15</v>
      </c>
      <c r="E146" s="2">
        <v>1589.42</v>
      </c>
      <c r="F146" s="2">
        <v>1150</v>
      </c>
      <c r="G146" s="2">
        <v>6</v>
      </c>
      <c r="H146" s="2">
        <f t="shared" si="6"/>
        <v>6900</v>
      </c>
      <c r="I146" s="2">
        <v>0.15</v>
      </c>
      <c r="J146" s="2">
        <f t="shared" si="7"/>
        <v>1035</v>
      </c>
      <c r="K146" s="2">
        <f t="shared" si="8"/>
        <v>5865</v>
      </c>
      <c r="L146" s="3">
        <v>45651</v>
      </c>
      <c r="M146" s="2">
        <v>675.5</v>
      </c>
    </row>
    <row r="147" spans="1:13" ht="15.75" customHeight="1" x14ac:dyDescent="0.3">
      <c r="A147" s="2" t="s">
        <v>28</v>
      </c>
      <c r="B147" s="2" t="s">
        <v>71</v>
      </c>
      <c r="C147" s="2" t="s">
        <v>24</v>
      </c>
      <c r="D147" s="2" t="s">
        <v>15</v>
      </c>
      <c r="E147" s="2">
        <v>336.66</v>
      </c>
      <c r="F147" s="2">
        <v>1150</v>
      </c>
      <c r="G147" s="2">
        <v>13</v>
      </c>
      <c r="H147" s="2">
        <f t="shared" si="6"/>
        <v>14950</v>
      </c>
      <c r="I147" s="2">
        <v>0.2</v>
      </c>
      <c r="J147" s="2">
        <f t="shared" si="7"/>
        <v>2990</v>
      </c>
      <c r="K147" s="2">
        <f t="shared" si="8"/>
        <v>11960</v>
      </c>
      <c r="L147" s="3">
        <v>45651</v>
      </c>
      <c r="M147" s="2">
        <v>134.66</v>
      </c>
    </row>
    <row r="148" spans="1:13" ht="15.75" customHeight="1" x14ac:dyDescent="0.3">
      <c r="A148" s="2" t="s">
        <v>49</v>
      </c>
      <c r="B148" s="2" t="s">
        <v>23</v>
      </c>
      <c r="C148" s="2" t="s">
        <v>11</v>
      </c>
      <c r="D148" s="2" t="s">
        <v>12</v>
      </c>
      <c r="E148" s="2">
        <v>1353.79</v>
      </c>
      <c r="F148" s="2">
        <v>60</v>
      </c>
      <c r="G148" s="2">
        <v>14</v>
      </c>
      <c r="H148" s="2">
        <f t="shared" si="6"/>
        <v>840</v>
      </c>
      <c r="I148" s="2">
        <v>0.1</v>
      </c>
      <c r="J148" s="2">
        <f t="shared" si="7"/>
        <v>84</v>
      </c>
      <c r="K148" s="2">
        <f t="shared" si="8"/>
        <v>756</v>
      </c>
      <c r="L148" s="3">
        <v>45656</v>
      </c>
      <c r="M148" s="2">
        <v>487.36</v>
      </c>
    </row>
    <row r="149" spans="1:13" ht="15.75" customHeight="1" x14ac:dyDescent="0.3">
      <c r="A149" s="2" t="s">
        <v>63</v>
      </c>
      <c r="B149" s="2" t="s">
        <v>69</v>
      </c>
      <c r="C149" s="2" t="s">
        <v>34</v>
      </c>
      <c r="D149" s="2" t="s">
        <v>15</v>
      </c>
      <c r="E149" s="2">
        <v>662.61</v>
      </c>
      <c r="F149" s="2">
        <v>1150</v>
      </c>
      <c r="G149" s="2">
        <v>11</v>
      </c>
      <c r="H149" s="2">
        <f t="shared" si="6"/>
        <v>12650</v>
      </c>
      <c r="I149" s="2">
        <v>0.05</v>
      </c>
      <c r="J149" s="2">
        <f t="shared" si="7"/>
        <v>632.5</v>
      </c>
      <c r="K149" s="2">
        <f t="shared" si="8"/>
        <v>12017.5</v>
      </c>
      <c r="L149" s="3">
        <v>45658</v>
      </c>
      <c r="M149" s="2">
        <v>314.74</v>
      </c>
    </row>
    <row r="150" spans="1:13" ht="15.75" customHeight="1" x14ac:dyDescent="0.3">
      <c r="A150" s="2" t="s">
        <v>52</v>
      </c>
      <c r="B150" s="2" t="s">
        <v>48</v>
      </c>
      <c r="C150" s="2" t="s">
        <v>24</v>
      </c>
      <c r="D150" s="2" t="s">
        <v>39</v>
      </c>
      <c r="E150" s="2">
        <v>309.42</v>
      </c>
      <c r="F150" s="2">
        <v>10000</v>
      </c>
      <c r="G150" s="2">
        <v>1</v>
      </c>
      <c r="H150" s="2">
        <f t="shared" si="6"/>
        <v>10000</v>
      </c>
      <c r="I150" s="2">
        <v>0.2</v>
      </c>
      <c r="J150" s="2">
        <f t="shared" si="7"/>
        <v>2000</v>
      </c>
      <c r="K150" s="2">
        <f t="shared" si="8"/>
        <v>8000</v>
      </c>
      <c r="L150" s="3">
        <v>45658</v>
      </c>
      <c r="M150" s="2">
        <v>111.39</v>
      </c>
    </row>
    <row r="151" spans="1:13" ht="15.75" customHeight="1" x14ac:dyDescent="0.3">
      <c r="A151" s="2" t="s">
        <v>63</v>
      </c>
      <c r="B151" s="2" t="s">
        <v>29</v>
      </c>
      <c r="C151" s="2" t="s">
        <v>24</v>
      </c>
      <c r="D151" s="2" t="s">
        <v>12</v>
      </c>
      <c r="E151" s="2">
        <v>884.63</v>
      </c>
      <c r="F151" s="2">
        <v>60</v>
      </c>
      <c r="G151" s="2">
        <v>18</v>
      </c>
      <c r="H151" s="2">
        <f t="shared" si="6"/>
        <v>1080</v>
      </c>
      <c r="I151" s="2">
        <v>0.1</v>
      </c>
      <c r="J151" s="2">
        <f t="shared" si="7"/>
        <v>108</v>
      </c>
      <c r="K151" s="2">
        <f t="shared" si="8"/>
        <v>972</v>
      </c>
      <c r="L151" s="3">
        <v>45659</v>
      </c>
      <c r="M151" s="2">
        <v>318.47000000000003</v>
      </c>
    </row>
    <row r="152" spans="1:13" ht="15.75" customHeight="1" x14ac:dyDescent="0.3">
      <c r="A152" s="2" t="s">
        <v>52</v>
      </c>
      <c r="B152" s="2" t="s">
        <v>23</v>
      </c>
      <c r="C152" s="2" t="s">
        <v>34</v>
      </c>
      <c r="D152" s="2" t="s">
        <v>39</v>
      </c>
      <c r="E152" s="2">
        <v>745.05</v>
      </c>
      <c r="F152" s="2">
        <v>10000</v>
      </c>
      <c r="G152" s="2">
        <v>10</v>
      </c>
      <c r="H152" s="2">
        <f t="shared" si="6"/>
        <v>100000</v>
      </c>
      <c r="I152" s="2">
        <v>0.1</v>
      </c>
      <c r="J152" s="2">
        <f t="shared" si="7"/>
        <v>10000</v>
      </c>
      <c r="K152" s="2">
        <f t="shared" si="8"/>
        <v>90000</v>
      </c>
      <c r="L152" s="3">
        <v>45660</v>
      </c>
      <c r="M152" s="2">
        <v>301.75</v>
      </c>
    </row>
    <row r="153" spans="1:13" ht="15.75" customHeight="1" x14ac:dyDescent="0.3">
      <c r="A153" s="2" t="s">
        <v>60</v>
      </c>
      <c r="B153" s="2" t="s">
        <v>17</v>
      </c>
      <c r="C153" s="2" t="s">
        <v>20</v>
      </c>
      <c r="D153" s="2" t="s">
        <v>15</v>
      </c>
      <c r="E153" s="2">
        <v>870.23</v>
      </c>
      <c r="F153" s="2">
        <v>1150</v>
      </c>
      <c r="G153" s="2">
        <v>5</v>
      </c>
      <c r="H153" s="2">
        <f t="shared" si="6"/>
        <v>5750</v>
      </c>
      <c r="I153" s="2">
        <v>0.05</v>
      </c>
      <c r="J153" s="2">
        <f t="shared" si="7"/>
        <v>287.5</v>
      </c>
      <c r="K153" s="2">
        <f t="shared" si="8"/>
        <v>5462.5</v>
      </c>
      <c r="L153" s="3">
        <v>45660</v>
      </c>
      <c r="M153" s="2">
        <v>413.36</v>
      </c>
    </row>
    <row r="154" spans="1:13" ht="15.75" customHeight="1" x14ac:dyDescent="0.3">
      <c r="A154" s="2" t="s">
        <v>35</v>
      </c>
      <c r="B154" s="2" t="s">
        <v>29</v>
      </c>
      <c r="C154" s="2" t="s">
        <v>11</v>
      </c>
      <c r="D154" s="2" t="s">
        <v>27</v>
      </c>
      <c r="E154" s="2">
        <v>862.19</v>
      </c>
      <c r="F154" s="2">
        <v>40000</v>
      </c>
      <c r="G154" s="2">
        <v>18</v>
      </c>
      <c r="H154" s="2">
        <f t="shared" si="6"/>
        <v>720000</v>
      </c>
      <c r="I154" s="2">
        <v>0.05</v>
      </c>
      <c r="J154" s="2">
        <f t="shared" si="7"/>
        <v>36000</v>
      </c>
      <c r="K154" s="2">
        <f t="shared" si="8"/>
        <v>684000</v>
      </c>
      <c r="L154" s="3">
        <v>45663</v>
      </c>
      <c r="M154" s="2">
        <v>286.68</v>
      </c>
    </row>
    <row r="155" spans="1:13" ht="15.75" customHeight="1" x14ac:dyDescent="0.3">
      <c r="A155" s="2" t="s">
        <v>73</v>
      </c>
      <c r="B155" s="2" t="s">
        <v>59</v>
      </c>
      <c r="C155" s="2" t="s">
        <v>24</v>
      </c>
      <c r="D155" s="2" t="s">
        <v>15</v>
      </c>
      <c r="E155" s="2">
        <v>1171.18</v>
      </c>
      <c r="F155" s="2">
        <v>1150</v>
      </c>
      <c r="G155" s="2">
        <v>19</v>
      </c>
      <c r="H155" s="2">
        <f t="shared" si="6"/>
        <v>21850</v>
      </c>
      <c r="I155" s="2">
        <v>0.05</v>
      </c>
      <c r="J155" s="2">
        <f t="shared" si="7"/>
        <v>1092.5</v>
      </c>
      <c r="K155" s="2">
        <f t="shared" si="8"/>
        <v>20757.5</v>
      </c>
      <c r="L155" s="3">
        <v>45667</v>
      </c>
      <c r="M155" s="2">
        <v>556.30999999999995</v>
      </c>
    </row>
    <row r="156" spans="1:13" ht="15.75" customHeight="1" x14ac:dyDescent="0.3">
      <c r="A156" s="2" t="s">
        <v>58</v>
      </c>
      <c r="B156" s="2" t="s">
        <v>14</v>
      </c>
      <c r="C156" s="2" t="s">
        <v>20</v>
      </c>
      <c r="D156" s="2" t="s">
        <v>27</v>
      </c>
      <c r="E156" s="2">
        <v>1054.56</v>
      </c>
      <c r="F156" s="2">
        <v>40000</v>
      </c>
      <c r="G156" s="2">
        <v>11</v>
      </c>
      <c r="H156" s="2">
        <f t="shared" si="6"/>
        <v>440000</v>
      </c>
      <c r="I156" s="2">
        <v>0.1</v>
      </c>
      <c r="J156" s="2">
        <f t="shared" si="7"/>
        <v>44000</v>
      </c>
      <c r="K156" s="2">
        <f t="shared" si="8"/>
        <v>396000</v>
      </c>
      <c r="L156" s="3">
        <v>45669</v>
      </c>
      <c r="M156" s="2">
        <v>332.19</v>
      </c>
    </row>
    <row r="157" spans="1:13" ht="15.75" customHeight="1" x14ac:dyDescent="0.3">
      <c r="A157" s="2" t="s">
        <v>58</v>
      </c>
      <c r="B157" s="2" t="s">
        <v>23</v>
      </c>
      <c r="C157" s="2" t="s">
        <v>24</v>
      </c>
      <c r="D157" s="2" t="s">
        <v>21</v>
      </c>
      <c r="E157" s="2">
        <v>1681.21</v>
      </c>
      <c r="F157" s="2">
        <v>12000</v>
      </c>
      <c r="G157" s="2">
        <v>5</v>
      </c>
      <c r="H157" s="2">
        <f t="shared" si="6"/>
        <v>60000</v>
      </c>
      <c r="I157" s="2">
        <v>0.2</v>
      </c>
      <c r="J157" s="2">
        <f t="shared" si="7"/>
        <v>12000</v>
      </c>
      <c r="K157" s="2">
        <f t="shared" si="8"/>
        <v>48000</v>
      </c>
      <c r="L157" s="3">
        <v>45670</v>
      </c>
      <c r="M157" s="2">
        <v>336.24</v>
      </c>
    </row>
    <row r="158" spans="1:13" ht="15.75" customHeight="1" x14ac:dyDescent="0.3">
      <c r="A158" s="2" t="s">
        <v>58</v>
      </c>
      <c r="B158" s="2" t="s">
        <v>36</v>
      </c>
      <c r="C158" s="2" t="s">
        <v>11</v>
      </c>
      <c r="D158" s="2" t="s">
        <v>15</v>
      </c>
      <c r="E158" s="2">
        <v>379.77</v>
      </c>
      <c r="F158" s="2">
        <v>1150</v>
      </c>
      <c r="G158" s="2">
        <v>9</v>
      </c>
      <c r="H158" s="2">
        <f t="shared" si="6"/>
        <v>10350</v>
      </c>
      <c r="I158" s="2">
        <v>0.05</v>
      </c>
      <c r="J158" s="2">
        <f t="shared" si="7"/>
        <v>517.5</v>
      </c>
      <c r="K158" s="2">
        <f t="shared" si="8"/>
        <v>9832.5</v>
      </c>
      <c r="L158" s="3">
        <v>45673</v>
      </c>
      <c r="M158" s="2">
        <v>180.39</v>
      </c>
    </row>
    <row r="159" spans="1:13" ht="15.75" customHeight="1" x14ac:dyDescent="0.3">
      <c r="A159" s="2" t="s">
        <v>44</v>
      </c>
      <c r="B159" s="2" t="s">
        <v>45</v>
      </c>
      <c r="C159" s="2" t="s">
        <v>34</v>
      </c>
      <c r="D159" s="2" t="s">
        <v>15</v>
      </c>
      <c r="E159" s="2">
        <v>1076.33</v>
      </c>
      <c r="F159" s="2">
        <v>1150</v>
      </c>
      <c r="G159" s="2">
        <v>2</v>
      </c>
      <c r="H159" s="2">
        <f t="shared" si="6"/>
        <v>2300</v>
      </c>
      <c r="I159" s="2">
        <v>0.1</v>
      </c>
      <c r="J159" s="2">
        <f t="shared" si="7"/>
        <v>230</v>
      </c>
      <c r="K159" s="2">
        <f t="shared" si="8"/>
        <v>2070</v>
      </c>
      <c r="L159" s="3">
        <v>45674</v>
      </c>
      <c r="M159" s="2">
        <v>484.35</v>
      </c>
    </row>
    <row r="160" spans="1:13" ht="15.75" customHeight="1" x14ac:dyDescent="0.3">
      <c r="A160" s="2" t="s">
        <v>44</v>
      </c>
      <c r="B160" s="2" t="s">
        <v>31</v>
      </c>
      <c r="C160" s="2" t="s">
        <v>34</v>
      </c>
      <c r="D160" s="2" t="s">
        <v>39</v>
      </c>
      <c r="E160" s="2">
        <v>1250.71</v>
      </c>
      <c r="F160" s="2">
        <v>10000</v>
      </c>
      <c r="G160" s="2">
        <v>7</v>
      </c>
      <c r="H160" s="2">
        <f t="shared" si="6"/>
        <v>70000</v>
      </c>
      <c r="I160" s="2">
        <v>0</v>
      </c>
      <c r="J160" s="2">
        <f t="shared" si="7"/>
        <v>0</v>
      </c>
      <c r="K160" s="2">
        <f t="shared" si="8"/>
        <v>70000</v>
      </c>
      <c r="L160" s="3">
        <v>45674</v>
      </c>
      <c r="M160" s="2">
        <v>562.82000000000005</v>
      </c>
    </row>
    <row r="161" spans="1:13" ht="15.75" customHeight="1" x14ac:dyDescent="0.3">
      <c r="A161" s="2" t="s">
        <v>40</v>
      </c>
      <c r="B161" s="2" t="s">
        <v>17</v>
      </c>
      <c r="C161" s="2" t="s">
        <v>20</v>
      </c>
      <c r="D161" s="2" t="s">
        <v>15</v>
      </c>
      <c r="E161" s="2">
        <v>1118.3399999999999</v>
      </c>
      <c r="F161" s="2">
        <v>1150</v>
      </c>
      <c r="G161" s="2">
        <v>6</v>
      </c>
      <c r="H161" s="2">
        <f t="shared" si="6"/>
        <v>6900</v>
      </c>
      <c r="I161" s="2">
        <v>0.2</v>
      </c>
      <c r="J161" s="2">
        <f t="shared" si="7"/>
        <v>1380</v>
      </c>
      <c r="K161" s="2">
        <f t="shared" si="8"/>
        <v>5520</v>
      </c>
      <c r="L161" s="3">
        <v>45674</v>
      </c>
      <c r="M161" s="2">
        <v>447.34</v>
      </c>
    </row>
    <row r="162" spans="1:13" ht="15.75" customHeight="1" x14ac:dyDescent="0.3">
      <c r="A162" s="2" t="s">
        <v>70</v>
      </c>
      <c r="B162" s="2" t="s">
        <v>53</v>
      </c>
      <c r="C162" s="2" t="s">
        <v>24</v>
      </c>
      <c r="D162" s="2" t="s">
        <v>15</v>
      </c>
      <c r="E162" s="2">
        <v>1622.62</v>
      </c>
      <c r="F162" s="2">
        <v>1150</v>
      </c>
      <c r="G162" s="2">
        <v>12</v>
      </c>
      <c r="H162" s="2">
        <f t="shared" si="6"/>
        <v>13800</v>
      </c>
      <c r="I162" s="2">
        <v>0.2</v>
      </c>
      <c r="J162" s="2">
        <f t="shared" si="7"/>
        <v>2760</v>
      </c>
      <c r="K162" s="2">
        <f t="shared" si="8"/>
        <v>11040</v>
      </c>
      <c r="L162" s="3">
        <v>45677</v>
      </c>
      <c r="M162" s="2">
        <v>649.04999999999995</v>
      </c>
    </row>
    <row r="163" spans="1:13" ht="15.75" customHeight="1" x14ac:dyDescent="0.3">
      <c r="A163" s="2" t="s">
        <v>75</v>
      </c>
      <c r="B163" s="2" t="s">
        <v>48</v>
      </c>
      <c r="C163" s="2" t="s">
        <v>24</v>
      </c>
      <c r="D163" s="2" t="s">
        <v>12</v>
      </c>
      <c r="E163" s="2">
        <v>640.64</v>
      </c>
      <c r="F163" s="2">
        <v>60</v>
      </c>
      <c r="G163" s="2">
        <v>11</v>
      </c>
      <c r="H163" s="2">
        <f t="shared" si="6"/>
        <v>660</v>
      </c>
      <c r="I163" s="2">
        <v>0.2</v>
      </c>
      <c r="J163" s="2">
        <f t="shared" si="7"/>
        <v>132</v>
      </c>
      <c r="K163" s="2">
        <f t="shared" si="8"/>
        <v>528</v>
      </c>
      <c r="L163" s="3">
        <v>45678</v>
      </c>
      <c r="M163" s="2">
        <v>205</v>
      </c>
    </row>
    <row r="164" spans="1:13" ht="15.75" customHeight="1" x14ac:dyDescent="0.3">
      <c r="A164" s="2" t="s">
        <v>22</v>
      </c>
      <c r="B164" s="2" t="s">
        <v>43</v>
      </c>
      <c r="C164" s="2" t="s">
        <v>11</v>
      </c>
      <c r="D164" s="2" t="s">
        <v>15</v>
      </c>
      <c r="E164" s="2">
        <v>585.16</v>
      </c>
      <c r="F164" s="2">
        <v>1150</v>
      </c>
      <c r="G164" s="2">
        <v>17</v>
      </c>
      <c r="H164" s="2">
        <f t="shared" si="6"/>
        <v>19550</v>
      </c>
      <c r="I164" s="2">
        <v>0.1</v>
      </c>
      <c r="J164" s="2">
        <f t="shared" si="7"/>
        <v>1955</v>
      </c>
      <c r="K164" s="2">
        <f t="shared" si="8"/>
        <v>17595</v>
      </c>
      <c r="L164" s="3">
        <v>45684</v>
      </c>
      <c r="M164" s="2">
        <v>263.32</v>
      </c>
    </row>
    <row r="165" spans="1:13" ht="15.75" customHeight="1" x14ac:dyDescent="0.3">
      <c r="A165" s="2" t="s">
        <v>22</v>
      </c>
      <c r="B165" s="2" t="s">
        <v>31</v>
      </c>
      <c r="C165" s="2" t="s">
        <v>18</v>
      </c>
      <c r="D165" s="2" t="s">
        <v>15</v>
      </c>
      <c r="E165" s="2">
        <v>1109.98</v>
      </c>
      <c r="F165" s="2">
        <v>1150</v>
      </c>
      <c r="G165" s="2">
        <v>5</v>
      </c>
      <c r="H165" s="2">
        <f t="shared" si="6"/>
        <v>5750</v>
      </c>
      <c r="I165" s="2">
        <v>0.2</v>
      </c>
      <c r="J165" s="2">
        <f t="shared" si="7"/>
        <v>1150</v>
      </c>
      <c r="K165" s="2">
        <f t="shared" si="8"/>
        <v>4600</v>
      </c>
      <c r="L165" s="3">
        <v>45690</v>
      </c>
      <c r="M165" s="2">
        <v>443.99</v>
      </c>
    </row>
    <row r="166" spans="1:13" ht="15.75" customHeight="1" x14ac:dyDescent="0.3">
      <c r="A166" s="2" t="s">
        <v>58</v>
      </c>
      <c r="B166" s="2" t="s">
        <v>45</v>
      </c>
      <c r="C166" s="2" t="s">
        <v>18</v>
      </c>
      <c r="D166" s="2" t="s">
        <v>12</v>
      </c>
      <c r="E166" s="2">
        <v>1098.08</v>
      </c>
      <c r="F166" s="2">
        <v>60</v>
      </c>
      <c r="G166" s="2">
        <v>9</v>
      </c>
      <c r="H166" s="2">
        <f t="shared" si="6"/>
        <v>540</v>
      </c>
      <c r="I166" s="2">
        <v>0.1</v>
      </c>
      <c r="J166" s="2">
        <f t="shared" si="7"/>
        <v>54</v>
      </c>
      <c r="K166" s="2">
        <f t="shared" si="8"/>
        <v>486</v>
      </c>
      <c r="L166" s="3">
        <v>45692</v>
      </c>
      <c r="M166" s="2">
        <v>395.31</v>
      </c>
    </row>
    <row r="167" spans="1:13" ht="15.75" customHeight="1" x14ac:dyDescent="0.3">
      <c r="A167" s="2" t="s">
        <v>65</v>
      </c>
      <c r="B167" s="2" t="s">
        <v>48</v>
      </c>
      <c r="C167" s="2" t="s">
        <v>11</v>
      </c>
      <c r="D167" s="2" t="s">
        <v>39</v>
      </c>
      <c r="E167" s="2">
        <v>827.25</v>
      </c>
      <c r="F167" s="2">
        <v>10000</v>
      </c>
      <c r="G167" s="2">
        <v>7</v>
      </c>
      <c r="H167" s="2">
        <f t="shared" si="6"/>
        <v>70000</v>
      </c>
      <c r="I167" s="2">
        <v>0.1</v>
      </c>
      <c r="J167" s="2">
        <f t="shared" si="7"/>
        <v>7000</v>
      </c>
      <c r="K167" s="2">
        <f t="shared" si="8"/>
        <v>63000</v>
      </c>
      <c r="L167" s="3">
        <v>45693</v>
      </c>
      <c r="M167" s="2">
        <v>335.04</v>
      </c>
    </row>
    <row r="168" spans="1:13" ht="15.75" customHeight="1" x14ac:dyDescent="0.3">
      <c r="A168" s="2" t="s">
        <v>70</v>
      </c>
      <c r="B168" s="2" t="s">
        <v>29</v>
      </c>
      <c r="C168" s="2" t="s">
        <v>34</v>
      </c>
      <c r="D168" s="2" t="s">
        <v>15</v>
      </c>
      <c r="E168" s="2">
        <v>741.88</v>
      </c>
      <c r="F168" s="2">
        <v>1150</v>
      </c>
      <c r="G168" s="2">
        <v>16</v>
      </c>
      <c r="H168" s="2">
        <f t="shared" si="6"/>
        <v>18400</v>
      </c>
      <c r="I168" s="2">
        <v>0.1</v>
      </c>
      <c r="J168" s="2">
        <f t="shared" si="7"/>
        <v>1840</v>
      </c>
      <c r="K168" s="2">
        <f t="shared" si="8"/>
        <v>16560</v>
      </c>
      <c r="L168" s="3">
        <v>45695</v>
      </c>
      <c r="M168" s="2">
        <v>333.85</v>
      </c>
    </row>
    <row r="169" spans="1:13" ht="15.75" customHeight="1" x14ac:dyDescent="0.3">
      <c r="A169" s="2" t="s">
        <v>72</v>
      </c>
      <c r="B169" s="2" t="s">
        <v>10</v>
      </c>
      <c r="C169" s="2" t="s">
        <v>18</v>
      </c>
      <c r="D169" s="2" t="s">
        <v>39</v>
      </c>
      <c r="E169" s="2">
        <v>1311.26</v>
      </c>
      <c r="F169" s="2">
        <v>10000</v>
      </c>
      <c r="G169" s="2">
        <v>6</v>
      </c>
      <c r="H169" s="2">
        <f t="shared" si="6"/>
        <v>60000</v>
      </c>
      <c r="I169" s="2">
        <v>0.1</v>
      </c>
      <c r="J169" s="2">
        <f t="shared" si="7"/>
        <v>6000</v>
      </c>
      <c r="K169" s="2">
        <f t="shared" si="8"/>
        <v>54000</v>
      </c>
      <c r="L169" s="3">
        <v>45698</v>
      </c>
      <c r="M169" s="2">
        <v>531.05999999999995</v>
      </c>
    </row>
    <row r="170" spans="1:13" ht="15.75" customHeight="1" x14ac:dyDescent="0.3">
      <c r="A170" s="2" t="s">
        <v>72</v>
      </c>
      <c r="B170" s="2" t="s">
        <v>31</v>
      </c>
      <c r="C170" s="2" t="s">
        <v>20</v>
      </c>
      <c r="D170" s="2" t="s">
        <v>39</v>
      </c>
      <c r="E170" s="2">
        <v>573.32000000000005</v>
      </c>
      <c r="F170" s="2">
        <v>10000</v>
      </c>
      <c r="G170" s="2">
        <v>19</v>
      </c>
      <c r="H170" s="2">
        <f t="shared" si="6"/>
        <v>190000</v>
      </c>
      <c r="I170" s="2">
        <v>0.1</v>
      </c>
      <c r="J170" s="2">
        <f t="shared" si="7"/>
        <v>19000</v>
      </c>
      <c r="K170" s="2">
        <f t="shared" si="8"/>
        <v>171000</v>
      </c>
      <c r="L170" s="3">
        <v>45703</v>
      </c>
      <c r="M170" s="2">
        <v>232.19</v>
      </c>
    </row>
    <row r="171" spans="1:13" ht="15.75" customHeight="1" x14ac:dyDescent="0.3">
      <c r="A171" s="2" t="s">
        <v>52</v>
      </c>
      <c r="B171" s="2" t="s">
        <v>23</v>
      </c>
      <c r="C171" s="2" t="s">
        <v>11</v>
      </c>
      <c r="D171" s="2" t="s">
        <v>21</v>
      </c>
      <c r="E171" s="2">
        <v>1115.22</v>
      </c>
      <c r="F171" s="2">
        <v>12000</v>
      </c>
      <c r="G171" s="2">
        <v>14</v>
      </c>
      <c r="H171" s="2">
        <f t="shared" si="6"/>
        <v>168000</v>
      </c>
      <c r="I171" s="2">
        <v>0.2</v>
      </c>
      <c r="J171" s="2">
        <f t="shared" si="7"/>
        <v>33600</v>
      </c>
      <c r="K171" s="2">
        <f t="shared" si="8"/>
        <v>134400</v>
      </c>
      <c r="L171" s="3">
        <v>45705</v>
      </c>
      <c r="M171" s="2">
        <v>223.04</v>
      </c>
    </row>
    <row r="172" spans="1:13" ht="15.75" customHeight="1" x14ac:dyDescent="0.3">
      <c r="A172" s="2" t="s">
        <v>13</v>
      </c>
      <c r="B172" s="2" t="s">
        <v>45</v>
      </c>
      <c r="C172" s="2" t="s">
        <v>24</v>
      </c>
      <c r="D172" s="2" t="s">
        <v>15</v>
      </c>
      <c r="E172" s="2">
        <v>845.84</v>
      </c>
      <c r="F172" s="2">
        <v>1150</v>
      </c>
      <c r="G172" s="2">
        <v>4</v>
      </c>
      <c r="H172" s="2">
        <f t="shared" si="6"/>
        <v>4600</v>
      </c>
      <c r="I172" s="2">
        <v>0</v>
      </c>
      <c r="J172" s="2">
        <f t="shared" si="7"/>
        <v>0</v>
      </c>
      <c r="K172" s="2">
        <f t="shared" si="8"/>
        <v>4600</v>
      </c>
      <c r="L172" s="3">
        <v>45707</v>
      </c>
      <c r="M172" s="2">
        <v>422.92</v>
      </c>
    </row>
    <row r="173" spans="1:13" ht="15.75" customHeight="1" x14ac:dyDescent="0.3">
      <c r="A173" s="2" t="s">
        <v>30</v>
      </c>
      <c r="B173" s="2" t="s">
        <v>55</v>
      </c>
      <c r="C173" s="2" t="s">
        <v>11</v>
      </c>
      <c r="D173" s="2" t="s">
        <v>21</v>
      </c>
      <c r="E173" s="2">
        <v>1029.8</v>
      </c>
      <c r="F173" s="2">
        <v>12000</v>
      </c>
      <c r="G173" s="2">
        <v>3</v>
      </c>
      <c r="H173" s="2">
        <f t="shared" si="6"/>
        <v>36000</v>
      </c>
      <c r="I173" s="2">
        <v>0</v>
      </c>
      <c r="J173" s="2">
        <f t="shared" si="7"/>
        <v>0</v>
      </c>
      <c r="K173" s="2">
        <f t="shared" si="8"/>
        <v>36000</v>
      </c>
      <c r="L173" s="3">
        <v>45708</v>
      </c>
      <c r="M173" s="2">
        <v>257.45</v>
      </c>
    </row>
    <row r="174" spans="1:13" ht="15.75" customHeight="1" x14ac:dyDescent="0.3">
      <c r="A174" s="2" t="s">
        <v>32</v>
      </c>
      <c r="B174" s="2" t="s">
        <v>31</v>
      </c>
      <c r="C174" s="2" t="s">
        <v>24</v>
      </c>
      <c r="D174" s="2" t="s">
        <v>12</v>
      </c>
      <c r="E174" s="2">
        <v>1189.83</v>
      </c>
      <c r="F174" s="2">
        <v>60</v>
      </c>
      <c r="G174" s="2">
        <v>2</v>
      </c>
      <c r="H174" s="2">
        <f t="shared" si="6"/>
        <v>120</v>
      </c>
      <c r="I174" s="2">
        <v>0.2</v>
      </c>
      <c r="J174" s="2">
        <f t="shared" si="7"/>
        <v>24</v>
      </c>
      <c r="K174" s="2">
        <f t="shared" si="8"/>
        <v>96</v>
      </c>
      <c r="L174" s="3">
        <v>45709</v>
      </c>
      <c r="M174" s="2">
        <v>380.75</v>
      </c>
    </row>
    <row r="175" spans="1:13" ht="15.75" customHeight="1" x14ac:dyDescent="0.3">
      <c r="A175" s="2" t="s">
        <v>67</v>
      </c>
      <c r="B175" s="2" t="s">
        <v>43</v>
      </c>
      <c r="C175" s="2" t="s">
        <v>20</v>
      </c>
      <c r="D175" s="2" t="s">
        <v>12</v>
      </c>
      <c r="E175" s="2">
        <v>704.28</v>
      </c>
      <c r="F175" s="2">
        <v>60</v>
      </c>
      <c r="G175" s="2">
        <v>15</v>
      </c>
      <c r="H175" s="2">
        <f t="shared" si="6"/>
        <v>900</v>
      </c>
      <c r="I175" s="2">
        <v>0.2</v>
      </c>
      <c r="J175" s="2">
        <f t="shared" si="7"/>
        <v>180</v>
      </c>
      <c r="K175" s="2">
        <f t="shared" si="8"/>
        <v>720</v>
      </c>
      <c r="L175" s="3">
        <v>45712</v>
      </c>
      <c r="M175" s="2">
        <v>225.37</v>
      </c>
    </row>
    <row r="176" spans="1:13" ht="15.75" customHeight="1" x14ac:dyDescent="0.3">
      <c r="A176" s="2" t="s">
        <v>65</v>
      </c>
      <c r="B176" s="2" t="s">
        <v>47</v>
      </c>
      <c r="C176" s="2" t="s">
        <v>34</v>
      </c>
      <c r="D176" s="2" t="s">
        <v>39</v>
      </c>
      <c r="E176" s="2">
        <v>1618.22</v>
      </c>
      <c r="F176" s="2">
        <v>10000</v>
      </c>
      <c r="G176" s="2">
        <v>12</v>
      </c>
      <c r="H176" s="2">
        <f t="shared" si="6"/>
        <v>120000</v>
      </c>
      <c r="I176" s="2">
        <v>0.2</v>
      </c>
      <c r="J176" s="2">
        <f t="shared" si="7"/>
        <v>24000</v>
      </c>
      <c r="K176" s="2">
        <f t="shared" si="8"/>
        <v>96000</v>
      </c>
      <c r="L176" s="3">
        <v>45712</v>
      </c>
      <c r="M176" s="2">
        <v>582.55999999999995</v>
      </c>
    </row>
    <row r="177" spans="1:13" ht="15.75" customHeight="1" x14ac:dyDescent="0.3">
      <c r="A177" s="2" t="s">
        <v>73</v>
      </c>
      <c r="B177" s="2" t="s">
        <v>53</v>
      </c>
      <c r="C177" s="2" t="s">
        <v>34</v>
      </c>
      <c r="D177" s="2" t="s">
        <v>12</v>
      </c>
      <c r="E177" s="2">
        <v>1014.43</v>
      </c>
      <c r="F177" s="2">
        <v>60</v>
      </c>
      <c r="G177" s="2">
        <v>2</v>
      </c>
      <c r="H177" s="2">
        <f t="shared" si="6"/>
        <v>120</v>
      </c>
      <c r="I177" s="2">
        <v>0.15</v>
      </c>
      <c r="J177" s="2">
        <f t="shared" si="7"/>
        <v>18</v>
      </c>
      <c r="K177" s="2">
        <f t="shared" si="8"/>
        <v>102</v>
      </c>
      <c r="L177" s="3">
        <v>45713</v>
      </c>
      <c r="M177" s="2">
        <v>344.91</v>
      </c>
    </row>
    <row r="178" spans="1:13" ht="15.75" customHeight="1" x14ac:dyDescent="0.3">
      <c r="A178" s="2" t="s">
        <v>75</v>
      </c>
      <c r="B178" s="2" t="s">
        <v>31</v>
      </c>
      <c r="C178" s="2" t="s">
        <v>34</v>
      </c>
      <c r="D178" s="2" t="s">
        <v>15</v>
      </c>
      <c r="E178" s="2">
        <v>826.97</v>
      </c>
      <c r="F178" s="2">
        <v>1150</v>
      </c>
      <c r="G178" s="2">
        <v>18</v>
      </c>
      <c r="H178" s="2">
        <f t="shared" si="6"/>
        <v>20700</v>
      </c>
      <c r="I178" s="2">
        <v>0.2</v>
      </c>
      <c r="J178" s="2">
        <f t="shared" si="7"/>
        <v>4140</v>
      </c>
      <c r="K178" s="2">
        <f t="shared" si="8"/>
        <v>16560</v>
      </c>
      <c r="L178" s="3">
        <v>45715</v>
      </c>
      <c r="M178" s="2">
        <v>330.79</v>
      </c>
    </row>
    <row r="179" spans="1:13" ht="15.75" customHeight="1" x14ac:dyDescent="0.3">
      <c r="A179" s="2" t="s">
        <v>16</v>
      </c>
      <c r="B179" s="2" t="s">
        <v>31</v>
      </c>
      <c r="C179" s="2" t="s">
        <v>34</v>
      </c>
      <c r="D179" s="2" t="s">
        <v>15</v>
      </c>
      <c r="E179" s="2">
        <v>1022.23</v>
      </c>
      <c r="F179" s="2">
        <v>1150</v>
      </c>
      <c r="G179" s="2">
        <v>8</v>
      </c>
      <c r="H179" s="2">
        <f t="shared" si="6"/>
        <v>9200</v>
      </c>
      <c r="I179" s="2">
        <v>0.1</v>
      </c>
      <c r="J179" s="2">
        <f t="shared" si="7"/>
        <v>920</v>
      </c>
      <c r="K179" s="2">
        <f t="shared" si="8"/>
        <v>8280</v>
      </c>
      <c r="L179" s="3">
        <v>45717</v>
      </c>
      <c r="M179" s="2">
        <v>460</v>
      </c>
    </row>
    <row r="180" spans="1:13" ht="15.75" customHeight="1" x14ac:dyDescent="0.3">
      <c r="A180" s="2" t="s">
        <v>72</v>
      </c>
      <c r="B180" s="2" t="s">
        <v>29</v>
      </c>
      <c r="C180" s="2" t="s">
        <v>18</v>
      </c>
      <c r="D180" s="2" t="s">
        <v>12</v>
      </c>
      <c r="E180" s="2">
        <v>1099.69</v>
      </c>
      <c r="F180" s="2">
        <v>60</v>
      </c>
      <c r="G180" s="2">
        <v>6</v>
      </c>
      <c r="H180" s="2">
        <f t="shared" si="6"/>
        <v>360</v>
      </c>
      <c r="I180" s="2">
        <v>0</v>
      </c>
      <c r="J180" s="2">
        <f t="shared" si="7"/>
        <v>0</v>
      </c>
      <c r="K180" s="2">
        <f t="shared" si="8"/>
        <v>360</v>
      </c>
      <c r="L180" s="3">
        <v>45718</v>
      </c>
      <c r="M180" s="2">
        <v>439.88</v>
      </c>
    </row>
    <row r="181" spans="1:13" ht="15.75" customHeight="1" x14ac:dyDescent="0.3">
      <c r="A181" s="2" t="s">
        <v>52</v>
      </c>
      <c r="B181" s="2" t="s">
        <v>64</v>
      </c>
      <c r="C181" s="2" t="s">
        <v>24</v>
      </c>
      <c r="D181" s="2" t="s">
        <v>12</v>
      </c>
      <c r="E181" s="2">
        <v>710.52</v>
      </c>
      <c r="F181" s="2">
        <v>60</v>
      </c>
      <c r="G181" s="2">
        <v>8</v>
      </c>
      <c r="H181" s="2">
        <f t="shared" si="6"/>
        <v>480</v>
      </c>
      <c r="I181" s="2">
        <v>0.1</v>
      </c>
      <c r="J181" s="2">
        <f t="shared" si="7"/>
        <v>48</v>
      </c>
      <c r="K181" s="2">
        <f t="shared" si="8"/>
        <v>432</v>
      </c>
      <c r="L181" s="3">
        <v>45721</v>
      </c>
      <c r="M181" s="2">
        <v>255.79</v>
      </c>
    </row>
    <row r="182" spans="1:13" ht="15.75" customHeight="1" x14ac:dyDescent="0.3">
      <c r="A182" s="2" t="s">
        <v>52</v>
      </c>
      <c r="B182" s="2" t="s">
        <v>59</v>
      </c>
      <c r="C182" s="2" t="s">
        <v>24</v>
      </c>
      <c r="D182" s="2" t="s">
        <v>12</v>
      </c>
      <c r="E182" s="2">
        <v>499.18</v>
      </c>
      <c r="F182" s="2">
        <v>60</v>
      </c>
      <c r="G182" s="2">
        <v>15</v>
      </c>
      <c r="H182" s="2">
        <f t="shared" si="6"/>
        <v>900</v>
      </c>
      <c r="I182" s="2">
        <v>0.2</v>
      </c>
      <c r="J182" s="2">
        <f t="shared" si="7"/>
        <v>180</v>
      </c>
      <c r="K182" s="2">
        <f t="shared" si="8"/>
        <v>720</v>
      </c>
      <c r="L182" s="3">
        <v>45724</v>
      </c>
      <c r="M182" s="2">
        <v>159.74</v>
      </c>
    </row>
    <row r="183" spans="1:13" ht="15.75" customHeight="1" x14ac:dyDescent="0.3">
      <c r="A183" s="2" t="s">
        <v>37</v>
      </c>
      <c r="B183" s="2" t="s">
        <v>38</v>
      </c>
      <c r="C183" s="2" t="s">
        <v>20</v>
      </c>
      <c r="D183" s="2" t="s">
        <v>12</v>
      </c>
      <c r="E183" s="2">
        <v>1064.19</v>
      </c>
      <c r="F183" s="2">
        <v>60</v>
      </c>
      <c r="G183" s="2">
        <v>18</v>
      </c>
      <c r="H183" s="2">
        <f t="shared" si="6"/>
        <v>1080</v>
      </c>
      <c r="I183" s="2">
        <v>0.05</v>
      </c>
      <c r="J183" s="2">
        <f t="shared" si="7"/>
        <v>54</v>
      </c>
      <c r="K183" s="2">
        <f t="shared" si="8"/>
        <v>1026</v>
      </c>
      <c r="L183" s="3">
        <v>45725</v>
      </c>
      <c r="M183" s="2">
        <v>404.39</v>
      </c>
    </row>
    <row r="184" spans="1:13" ht="15.75" customHeight="1" x14ac:dyDescent="0.3">
      <c r="A184" s="2" t="s">
        <v>67</v>
      </c>
      <c r="B184" s="2" t="s">
        <v>38</v>
      </c>
      <c r="C184" s="2" t="s">
        <v>18</v>
      </c>
      <c r="D184" s="2" t="s">
        <v>39</v>
      </c>
      <c r="E184" s="2">
        <v>438.76</v>
      </c>
      <c r="F184" s="2">
        <v>10000</v>
      </c>
      <c r="G184" s="2">
        <v>18</v>
      </c>
      <c r="H184" s="2">
        <f t="shared" si="6"/>
        <v>180000</v>
      </c>
      <c r="I184" s="2">
        <v>0.05</v>
      </c>
      <c r="J184" s="2">
        <f t="shared" si="7"/>
        <v>9000</v>
      </c>
      <c r="K184" s="2">
        <f t="shared" si="8"/>
        <v>171000</v>
      </c>
      <c r="L184" s="3">
        <v>45726</v>
      </c>
      <c r="M184" s="2">
        <v>187.57</v>
      </c>
    </row>
    <row r="185" spans="1:13" ht="15.75" customHeight="1" x14ac:dyDescent="0.3">
      <c r="A185" s="2" t="s">
        <v>41</v>
      </c>
      <c r="B185" s="2" t="s">
        <v>55</v>
      </c>
      <c r="C185" s="2" t="s">
        <v>11</v>
      </c>
      <c r="D185" s="2" t="s">
        <v>15</v>
      </c>
      <c r="E185" s="2">
        <v>864.98</v>
      </c>
      <c r="F185" s="2">
        <v>1150</v>
      </c>
      <c r="G185" s="2">
        <v>2</v>
      </c>
      <c r="H185" s="2">
        <f t="shared" si="6"/>
        <v>2300</v>
      </c>
      <c r="I185" s="2">
        <v>0.05</v>
      </c>
      <c r="J185" s="2">
        <f t="shared" si="7"/>
        <v>115</v>
      </c>
      <c r="K185" s="2">
        <f t="shared" si="8"/>
        <v>2185</v>
      </c>
      <c r="L185" s="3">
        <v>45727</v>
      </c>
      <c r="M185" s="2">
        <v>410.87</v>
      </c>
    </row>
    <row r="186" spans="1:13" ht="15.75" customHeight="1" x14ac:dyDescent="0.3">
      <c r="A186" s="2" t="s">
        <v>57</v>
      </c>
      <c r="B186" s="2" t="s">
        <v>55</v>
      </c>
      <c r="C186" s="2" t="s">
        <v>11</v>
      </c>
      <c r="D186" s="2" t="s">
        <v>27</v>
      </c>
      <c r="E186" s="2">
        <v>984.93</v>
      </c>
      <c r="F186" s="2">
        <v>40000</v>
      </c>
      <c r="G186" s="2">
        <v>14</v>
      </c>
      <c r="H186" s="2">
        <f t="shared" si="6"/>
        <v>560000</v>
      </c>
      <c r="I186" s="2">
        <v>0.2</v>
      </c>
      <c r="J186" s="2">
        <f t="shared" si="7"/>
        <v>112000</v>
      </c>
      <c r="K186" s="2">
        <f t="shared" si="8"/>
        <v>448000</v>
      </c>
      <c r="L186" s="3">
        <v>45733</v>
      </c>
      <c r="M186" s="2">
        <v>275.77999999999997</v>
      </c>
    </row>
    <row r="187" spans="1:13" ht="15.75" customHeight="1" x14ac:dyDescent="0.3">
      <c r="A187" s="2" t="s">
        <v>25</v>
      </c>
      <c r="B187" s="2" t="s">
        <v>55</v>
      </c>
      <c r="C187" s="2" t="s">
        <v>11</v>
      </c>
      <c r="D187" s="2" t="s">
        <v>15</v>
      </c>
      <c r="E187" s="2">
        <v>1493.49</v>
      </c>
      <c r="F187" s="2">
        <v>1150</v>
      </c>
      <c r="G187" s="2">
        <v>18</v>
      </c>
      <c r="H187" s="2">
        <f t="shared" si="6"/>
        <v>20700</v>
      </c>
      <c r="I187" s="2">
        <v>0</v>
      </c>
      <c r="J187" s="2">
        <f t="shared" si="7"/>
        <v>0</v>
      </c>
      <c r="K187" s="2">
        <f t="shared" si="8"/>
        <v>20700</v>
      </c>
      <c r="L187" s="3">
        <v>45734</v>
      </c>
      <c r="M187" s="2">
        <v>746.74</v>
      </c>
    </row>
    <row r="188" spans="1:13" ht="15.75" customHeight="1" x14ac:dyDescent="0.3">
      <c r="A188" s="2" t="s">
        <v>32</v>
      </c>
      <c r="B188" s="2" t="s">
        <v>53</v>
      </c>
      <c r="C188" s="2" t="s">
        <v>20</v>
      </c>
      <c r="D188" s="2" t="s">
        <v>15</v>
      </c>
      <c r="E188" s="2">
        <v>689.43</v>
      </c>
      <c r="F188" s="2">
        <v>1150</v>
      </c>
      <c r="G188" s="2">
        <v>9</v>
      </c>
      <c r="H188" s="2">
        <f t="shared" si="6"/>
        <v>10350</v>
      </c>
      <c r="I188" s="2">
        <v>0.1</v>
      </c>
      <c r="J188" s="2">
        <f t="shared" si="7"/>
        <v>1035</v>
      </c>
      <c r="K188" s="2">
        <f t="shared" si="8"/>
        <v>9315</v>
      </c>
      <c r="L188" s="3">
        <v>45736</v>
      </c>
      <c r="M188" s="2">
        <v>310.24</v>
      </c>
    </row>
    <row r="189" spans="1:13" ht="15.75" customHeight="1" x14ac:dyDescent="0.3">
      <c r="A189" s="2" t="s">
        <v>40</v>
      </c>
      <c r="B189" s="2" t="s">
        <v>59</v>
      </c>
      <c r="C189" s="2" t="s">
        <v>20</v>
      </c>
      <c r="D189" s="2" t="s">
        <v>15</v>
      </c>
      <c r="E189" s="2">
        <v>682.24</v>
      </c>
      <c r="F189" s="2">
        <v>1150</v>
      </c>
      <c r="G189" s="2">
        <v>1</v>
      </c>
      <c r="H189" s="2">
        <f t="shared" si="6"/>
        <v>1150</v>
      </c>
      <c r="I189" s="2">
        <v>0</v>
      </c>
      <c r="J189" s="2">
        <f t="shared" si="7"/>
        <v>0</v>
      </c>
      <c r="K189" s="2">
        <f t="shared" si="8"/>
        <v>1150</v>
      </c>
      <c r="L189" s="3">
        <v>45738</v>
      </c>
      <c r="M189" s="2">
        <v>341.12</v>
      </c>
    </row>
    <row r="190" spans="1:13" ht="15.75" customHeight="1" x14ac:dyDescent="0.3">
      <c r="A190" s="2" t="s">
        <v>41</v>
      </c>
      <c r="B190" s="2" t="s">
        <v>26</v>
      </c>
      <c r="C190" s="2" t="s">
        <v>24</v>
      </c>
      <c r="D190" s="2" t="s">
        <v>21</v>
      </c>
      <c r="E190" s="2">
        <v>458.54</v>
      </c>
      <c r="F190" s="2">
        <v>12000</v>
      </c>
      <c r="G190" s="2">
        <v>15</v>
      </c>
      <c r="H190" s="2">
        <f t="shared" si="6"/>
        <v>180000</v>
      </c>
      <c r="I190" s="2">
        <v>0.2</v>
      </c>
      <c r="J190" s="2">
        <f t="shared" si="7"/>
        <v>36000</v>
      </c>
      <c r="K190" s="2">
        <f t="shared" si="8"/>
        <v>144000</v>
      </c>
      <c r="L190" s="3">
        <v>45741</v>
      </c>
      <c r="M190" s="2">
        <v>91.71</v>
      </c>
    </row>
    <row r="191" spans="1:13" ht="15.75" customHeight="1" x14ac:dyDescent="0.3">
      <c r="A191" s="2" t="s">
        <v>32</v>
      </c>
      <c r="B191" s="2" t="s">
        <v>26</v>
      </c>
      <c r="C191" s="2" t="s">
        <v>20</v>
      </c>
      <c r="D191" s="2" t="s">
        <v>27</v>
      </c>
      <c r="E191" s="2">
        <v>1184.25</v>
      </c>
      <c r="F191" s="2">
        <v>40000</v>
      </c>
      <c r="G191" s="2">
        <v>11</v>
      </c>
      <c r="H191" s="2">
        <f t="shared" si="6"/>
        <v>440000</v>
      </c>
      <c r="I191" s="2">
        <v>0.2</v>
      </c>
      <c r="J191" s="2">
        <f t="shared" si="7"/>
        <v>88000</v>
      </c>
      <c r="K191" s="2">
        <f t="shared" si="8"/>
        <v>352000</v>
      </c>
      <c r="L191" s="3">
        <v>45742</v>
      </c>
      <c r="M191" s="2">
        <v>331.59</v>
      </c>
    </row>
    <row r="192" spans="1:13" ht="15.75" customHeight="1" x14ac:dyDescent="0.3">
      <c r="A192" s="2" t="s">
        <v>25</v>
      </c>
      <c r="B192" s="2" t="s">
        <v>10</v>
      </c>
      <c r="C192" s="2" t="s">
        <v>20</v>
      </c>
      <c r="D192" s="2" t="s">
        <v>15</v>
      </c>
      <c r="E192" s="2">
        <v>762.14</v>
      </c>
      <c r="F192" s="2">
        <v>1150</v>
      </c>
      <c r="G192" s="2">
        <v>9</v>
      </c>
      <c r="H192" s="2">
        <f t="shared" si="6"/>
        <v>10350</v>
      </c>
      <c r="I192" s="2">
        <v>0</v>
      </c>
      <c r="J192" s="2">
        <f t="shared" si="7"/>
        <v>0</v>
      </c>
      <c r="K192" s="2">
        <f t="shared" si="8"/>
        <v>10350</v>
      </c>
      <c r="L192" s="3">
        <v>45743</v>
      </c>
      <c r="M192" s="2">
        <v>381.07</v>
      </c>
    </row>
    <row r="193" spans="1:13" ht="15.75" customHeight="1" x14ac:dyDescent="0.3">
      <c r="A193" s="2" t="s">
        <v>22</v>
      </c>
      <c r="B193" s="2" t="s">
        <v>53</v>
      </c>
      <c r="C193" s="2" t="s">
        <v>24</v>
      </c>
      <c r="D193" s="2" t="s">
        <v>12</v>
      </c>
      <c r="E193" s="2">
        <v>750.71</v>
      </c>
      <c r="F193" s="2">
        <v>60</v>
      </c>
      <c r="G193" s="2">
        <v>10</v>
      </c>
      <c r="H193" s="2">
        <f t="shared" si="6"/>
        <v>600</v>
      </c>
      <c r="I193" s="2">
        <v>0.15</v>
      </c>
      <c r="J193" s="2">
        <f t="shared" si="7"/>
        <v>90</v>
      </c>
      <c r="K193" s="2">
        <f t="shared" si="8"/>
        <v>510</v>
      </c>
      <c r="L193" s="3">
        <v>45743</v>
      </c>
      <c r="M193" s="2">
        <v>255.24</v>
      </c>
    </row>
    <row r="194" spans="1:13" ht="15.75" customHeight="1" x14ac:dyDescent="0.3">
      <c r="A194" s="2" t="s">
        <v>75</v>
      </c>
      <c r="B194" s="2" t="s">
        <v>71</v>
      </c>
      <c r="C194" s="2" t="s">
        <v>34</v>
      </c>
      <c r="D194" s="2" t="s">
        <v>15</v>
      </c>
      <c r="E194" s="2">
        <v>1456.94</v>
      </c>
      <c r="F194" s="2">
        <v>1150</v>
      </c>
      <c r="G194" s="2">
        <v>14</v>
      </c>
      <c r="H194" s="2">
        <f t="shared" si="6"/>
        <v>16100</v>
      </c>
      <c r="I194" s="2">
        <v>0.05</v>
      </c>
      <c r="J194" s="2">
        <f t="shared" si="7"/>
        <v>805</v>
      </c>
      <c r="K194" s="2">
        <f t="shared" si="8"/>
        <v>15295</v>
      </c>
      <c r="L194" s="3">
        <v>45745</v>
      </c>
      <c r="M194" s="2">
        <v>692.05</v>
      </c>
    </row>
    <row r="195" spans="1:13" ht="15.75" customHeight="1" x14ac:dyDescent="0.3">
      <c r="A195" s="2" t="s">
        <v>44</v>
      </c>
      <c r="B195" s="2" t="s">
        <v>61</v>
      </c>
      <c r="C195" s="2" t="s">
        <v>18</v>
      </c>
      <c r="D195" s="2" t="s">
        <v>27</v>
      </c>
      <c r="E195" s="2">
        <v>1093.3800000000001</v>
      </c>
      <c r="F195" s="2">
        <v>40000</v>
      </c>
      <c r="G195" s="2">
        <v>17</v>
      </c>
      <c r="H195" s="2">
        <f t="shared" ref="H195:H201" si="9">F195*G195</f>
        <v>680000</v>
      </c>
      <c r="I195" s="2">
        <v>0.1</v>
      </c>
      <c r="J195" s="2">
        <f t="shared" ref="J195:J201" si="10">H195*I195</f>
        <v>68000</v>
      </c>
      <c r="K195" s="2">
        <f t="shared" ref="K195:K201" si="11">H195-J195</f>
        <v>612000</v>
      </c>
      <c r="L195" s="3">
        <v>45745</v>
      </c>
      <c r="M195" s="2">
        <v>344.41</v>
      </c>
    </row>
    <row r="196" spans="1:13" ht="15.75" customHeight="1" x14ac:dyDescent="0.3">
      <c r="A196" s="2" t="s">
        <v>37</v>
      </c>
      <c r="B196" s="2" t="s">
        <v>43</v>
      </c>
      <c r="C196" s="2" t="s">
        <v>11</v>
      </c>
      <c r="D196" s="2" t="s">
        <v>15</v>
      </c>
      <c r="E196" s="2">
        <v>934.27</v>
      </c>
      <c r="F196" s="2">
        <v>1150</v>
      </c>
      <c r="G196" s="2">
        <v>8</v>
      </c>
      <c r="H196" s="2">
        <f t="shared" si="9"/>
        <v>9200</v>
      </c>
      <c r="I196" s="2">
        <v>0.15</v>
      </c>
      <c r="J196" s="2">
        <f t="shared" si="10"/>
        <v>1380</v>
      </c>
      <c r="K196" s="2">
        <f t="shared" si="11"/>
        <v>7820</v>
      </c>
      <c r="L196" s="3">
        <v>45746</v>
      </c>
      <c r="M196" s="2">
        <v>397.06</v>
      </c>
    </row>
    <row r="197" spans="1:13" ht="15.75" customHeight="1" x14ac:dyDescent="0.3">
      <c r="A197" s="2" t="s">
        <v>70</v>
      </c>
      <c r="B197" s="2" t="s">
        <v>36</v>
      </c>
      <c r="C197" s="2" t="s">
        <v>34</v>
      </c>
      <c r="D197" s="2" t="s">
        <v>15</v>
      </c>
      <c r="E197" s="2">
        <v>1465.35</v>
      </c>
      <c r="F197" s="2">
        <v>1150</v>
      </c>
      <c r="G197" s="2">
        <v>8</v>
      </c>
      <c r="H197" s="2">
        <f t="shared" si="9"/>
        <v>9200</v>
      </c>
      <c r="I197" s="2">
        <v>0.2</v>
      </c>
      <c r="J197" s="2">
        <f t="shared" si="10"/>
        <v>1840</v>
      </c>
      <c r="K197" s="2">
        <f t="shared" si="11"/>
        <v>7360</v>
      </c>
      <c r="L197" s="3">
        <v>45746</v>
      </c>
      <c r="M197" s="2">
        <v>586.14</v>
      </c>
    </row>
    <row r="198" spans="1:13" ht="15.75" customHeight="1" x14ac:dyDescent="0.3">
      <c r="A198" s="2" t="s">
        <v>52</v>
      </c>
      <c r="B198" s="2" t="s">
        <v>14</v>
      </c>
      <c r="C198" s="2" t="s">
        <v>20</v>
      </c>
      <c r="D198" s="2" t="s">
        <v>39</v>
      </c>
      <c r="E198" s="2">
        <v>740.8</v>
      </c>
      <c r="F198" s="2">
        <v>10000</v>
      </c>
      <c r="G198" s="2">
        <v>3</v>
      </c>
      <c r="H198" s="2">
        <f t="shared" si="9"/>
        <v>30000</v>
      </c>
      <c r="I198" s="2">
        <v>0</v>
      </c>
      <c r="J198" s="2">
        <f t="shared" si="10"/>
        <v>0</v>
      </c>
      <c r="K198" s="2">
        <f t="shared" si="11"/>
        <v>30000</v>
      </c>
      <c r="L198" s="3">
        <v>45749</v>
      </c>
      <c r="M198" s="2">
        <v>333.36</v>
      </c>
    </row>
    <row r="199" spans="1:13" ht="15.75" customHeight="1" x14ac:dyDescent="0.3">
      <c r="A199" s="2" t="s">
        <v>58</v>
      </c>
      <c r="B199" s="2" t="s">
        <v>43</v>
      </c>
      <c r="C199" s="2" t="s">
        <v>11</v>
      </c>
      <c r="D199" s="2" t="s">
        <v>39</v>
      </c>
      <c r="E199" s="2">
        <v>545.44000000000005</v>
      </c>
      <c r="F199" s="2">
        <v>10000</v>
      </c>
      <c r="G199" s="2">
        <v>17</v>
      </c>
      <c r="H199" s="2">
        <f t="shared" si="9"/>
        <v>170000</v>
      </c>
      <c r="I199" s="2">
        <v>0</v>
      </c>
      <c r="J199" s="2">
        <f t="shared" si="10"/>
        <v>0</v>
      </c>
      <c r="K199" s="2">
        <f t="shared" si="11"/>
        <v>170000</v>
      </c>
      <c r="L199" s="3">
        <v>45752</v>
      </c>
      <c r="M199" s="2">
        <v>245.45</v>
      </c>
    </row>
    <row r="200" spans="1:13" ht="15.75" customHeight="1" x14ac:dyDescent="0.3">
      <c r="A200" s="2" t="s">
        <v>35</v>
      </c>
      <c r="B200" s="2" t="s">
        <v>36</v>
      </c>
      <c r="C200" s="2" t="s">
        <v>18</v>
      </c>
      <c r="D200" s="2" t="s">
        <v>12</v>
      </c>
      <c r="E200" s="2">
        <v>997.61</v>
      </c>
      <c r="F200" s="2">
        <v>60</v>
      </c>
      <c r="G200" s="2">
        <v>8</v>
      </c>
      <c r="H200" s="2">
        <f t="shared" si="9"/>
        <v>480</v>
      </c>
      <c r="I200" s="2">
        <v>0.05</v>
      </c>
      <c r="J200" s="2">
        <f t="shared" si="10"/>
        <v>24</v>
      </c>
      <c r="K200" s="2">
        <f t="shared" si="11"/>
        <v>456</v>
      </c>
      <c r="L200" s="3">
        <v>45752</v>
      </c>
      <c r="M200" s="2">
        <v>379.09</v>
      </c>
    </row>
    <row r="201" spans="1:13" ht="15.75" customHeight="1" x14ac:dyDescent="0.3">
      <c r="A201" s="2" t="s">
        <v>60</v>
      </c>
      <c r="B201" s="2" t="s">
        <v>36</v>
      </c>
      <c r="C201" s="2" t="s">
        <v>20</v>
      </c>
      <c r="D201" s="2" t="s">
        <v>15</v>
      </c>
      <c r="E201" s="2">
        <v>928.32</v>
      </c>
      <c r="F201" s="2">
        <v>1150</v>
      </c>
      <c r="G201" s="2">
        <v>2</v>
      </c>
      <c r="H201" s="2">
        <f t="shared" si="9"/>
        <v>2300</v>
      </c>
      <c r="I201" s="2">
        <v>0.05</v>
      </c>
      <c r="J201" s="2">
        <f t="shared" si="10"/>
        <v>115</v>
      </c>
      <c r="K201" s="2">
        <f t="shared" si="11"/>
        <v>2185</v>
      </c>
      <c r="L201" s="3">
        <v>45754</v>
      </c>
      <c r="M201" s="2">
        <v>440.95</v>
      </c>
    </row>
    <row r="202" spans="1:13" ht="15.75" customHeight="1" x14ac:dyDescent="0.3">
      <c r="F202" s="2"/>
    </row>
    <row r="203" spans="1:13" ht="15.75" customHeight="1" x14ac:dyDescent="0.3">
      <c r="F203" s="2"/>
    </row>
    <row r="204" spans="1:13" ht="15.75" customHeight="1" x14ac:dyDescent="0.3"/>
    <row r="205" spans="1:13" ht="15.75" customHeight="1" x14ac:dyDescent="0.3"/>
    <row r="206" spans="1:13" ht="15.75" customHeight="1" x14ac:dyDescent="0.3"/>
    <row r="207" spans="1:13" ht="15.75" customHeight="1" x14ac:dyDescent="0.3"/>
    <row r="208" spans="1:13"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0" show="1">
    <scenario name="NOW" locked="1" count="1" user="kachi" comment="Created by kachi on 05-02-2026">
      <inputCells r="I2" val="0.2"/>
    </scenario>
    <scenario name="DEC" locked="1" count="1" user="kachi" comment="Created by kachi on 05-02-2026">
      <inputCells r="I2" val="0.5"/>
    </scenario>
    <scenario name="JAN" locked="1" count="1" user="kachi" comment="Created by kachi on 05-02-2026">
      <inputCells r="I2" val="0.3"/>
    </scenario>
  </scenarios>
  <conditionalFormatting sqref="P1">
    <cfRule type="top10" dxfId="3" priority="3" rank="10"/>
    <cfRule type="top10" dxfId="2" priority="4" rank="10"/>
  </conditionalFormatting>
  <conditionalFormatting sqref="P1:P29 P1001:P1048576">
    <cfRule type="top10" dxfId="1" priority="2" rank="10"/>
  </conditionalFormatting>
  <conditionalFormatting sqref="P1:P1048576">
    <cfRule type="top10" dxfId="0" priority="1" rank="10"/>
  </conditionalFormatting>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Total Sales VS Region</vt:lpstr>
      <vt:lpstr>Total Sales VS Product Category</vt:lpstr>
      <vt:lpstr>Average Sales Product Category </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Kachiya Hiren</cp:lastModifiedBy>
  <dcterms:modified xsi:type="dcterms:W3CDTF">2026-02-05T15:47:53Z</dcterms:modified>
</cp:coreProperties>
</file>